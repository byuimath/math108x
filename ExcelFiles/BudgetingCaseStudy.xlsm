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21" documentId="8_{716685CE-5D78-4FD5-A207-7EF01BA662BE}" xr6:coauthVersionLast="47" xr6:coauthVersionMax="47" xr10:uidLastSave="{A6DF604C-F172-40E9-94A2-C9F3CB8E2F15}"/>
  <bookViews>
    <workbookView xWindow="1425" yWindow="1425" windowWidth="21600" windowHeight="11385" tabRatio="868" xr2:uid="{00000000-000D-0000-FFFF-FFFF00000000}"/>
  </bookViews>
  <sheets>
    <sheet name="Juan's Budget" sheetId="2166" r:id="rId1"/>
    <sheet name="How Did I Do" sheetId="2168" r:id="rId2"/>
    <sheet name="My Budget (Optional)" sheetId="2163" r:id="rId3"/>
  </sheets>
  <definedNames>
    <definedName name="byui" localSheetId="1">#REF!</definedName>
    <definedName name="byui" localSheetId="0">#REF!</definedName>
    <definedName name="byui" localSheetId="2">#REF!</definedName>
    <definedName name="byui">#REF!</definedName>
    <definedName name="Car_Gasoline" localSheetId="1">#REF!</definedName>
    <definedName name="Car_Gasoline" localSheetId="0">#REF!</definedName>
    <definedName name="Car_Gasoline" localSheetId="2">#REF!</definedName>
    <definedName name="Car_Gasoline">#REF!</definedName>
    <definedName name="ricks" localSheetId="1">#REF!</definedName>
    <definedName name="ricks" localSheetId="0">#REF!</definedName>
    <definedName name="ricks" localSheetId="2">#REF!</definedName>
    <definedName name="ricks">#REF!</definedName>
    <definedName name="war" localSheetId="1">#REF!</definedName>
    <definedName name="war" localSheetId="0">#REF!</definedName>
    <definedName name="war" localSheetId="2">#REF!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22" i="2168" l="1"/>
  <c r="D11" i="2168"/>
  <c r="J37" i="2168"/>
  <c r="K37" i="2168"/>
  <c r="D5" i="2168"/>
  <c r="O30" i="2166"/>
  <c r="O29" i="2166"/>
  <c r="O27" i="2166"/>
  <c r="O28" i="2166"/>
  <c r="O26" i="2166"/>
  <c r="O25" i="2166"/>
  <c r="O24" i="2166"/>
  <c r="O23" i="2166"/>
  <c r="O21" i="2166"/>
  <c r="O22" i="2166"/>
  <c r="O20" i="2166"/>
  <c r="O18" i="2166"/>
  <c r="O19" i="2166"/>
  <c r="O17" i="2166"/>
  <c r="O16" i="2166"/>
  <c r="O15" i="2166"/>
  <c r="O14" i="2166"/>
  <c r="O13" i="2166"/>
  <c r="O12" i="2166"/>
  <c r="O11" i="2166"/>
  <c r="O10" i="2166"/>
  <c r="O9" i="2166"/>
  <c r="O8" i="2166"/>
  <c r="O7" i="2166"/>
  <c r="O6" i="2166"/>
  <c r="M35" i="2168"/>
  <c r="O35" i="2168"/>
  <c r="O31" i="2168"/>
  <c r="K40" i="2168"/>
  <c r="L40" i="2168"/>
  <c r="K10" i="2168"/>
  <c r="J9" i="2166"/>
  <c r="J12" i="2166"/>
  <c r="J11" i="2166"/>
  <c r="K7" i="2166"/>
  <c r="K14" i="2166"/>
  <c r="L25" i="2166"/>
  <c r="K23" i="2166"/>
  <c r="K35" i="2166"/>
  <c r="K37" i="2166"/>
  <c r="J21" i="2166"/>
  <c r="J23" i="2166"/>
  <c r="R19" i="2166"/>
  <c r="J25" i="2166"/>
  <c r="J26" i="2166"/>
  <c r="J27" i="2166"/>
  <c r="J28" i="2166"/>
  <c r="J29" i="2166"/>
  <c r="J30" i="2166"/>
  <c r="J31" i="2166"/>
  <c r="J32" i="2166"/>
  <c r="J33" i="2166"/>
  <c r="J34" i="2166"/>
  <c r="J35" i="2166"/>
  <c r="J37" i="2166"/>
  <c r="O37" i="2168"/>
  <c r="O36" i="2168"/>
  <c r="K9" i="2168"/>
  <c r="K11" i="2168"/>
  <c r="K12" i="2168"/>
  <c r="K13" i="2168"/>
  <c r="K14" i="2168"/>
  <c r="K16" i="2168"/>
  <c r="K21" i="2168"/>
  <c r="J22" i="2168"/>
  <c r="K25" i="2168"/>
  <c r="J25" i="2168"/>
  <c r="K26" i="2168"/>
  <c r="J26" i="2168"/>
  <c r="K27" i="2168"/>
  <c r="J27" i="2168"/>
  <c r="K28" i="2168"/>
  <c r="J28" i="2168"/>
  <c r="K29" i="2168"/>
  <c r="J29" i="2168"/>
  <c r="K30" i="2168"/>
  <c r="J30" i="2168"/>
  <c r="K31" i="2168"/>
  <c r="J31" i="2168"/>
  <c r="K32" i="2168"/>
  <c r="J32" i="2168"/>
  <c r="K33" i="2168"/>
  <c r="J33" i="2168"/>
  <c r="K34" i="2168"/>
  <c r="J34" i="2168"/>
  <c r="P31" i="2168"/>
  <c r="Q31" i="2168"/>
  <c r="R31" i="2168"/>
  <c r="S31" i="2168"/>
  <c r="T31" i="2168"/>
  <c r="P32" i="2168"/>
  <c r="Q32" i="2168"/>
  <c r="R32" i="2168"/>
  <c r="S32" i="2168"/>
  <c r="T32" i="2168"/>
  <c r="O32" i="2168"/>
  <c r="O33" i="2168"/>
  <c r="P33" i="2168"/>
  <c r="Q33" i="2168"/>
  <c r="R33" i="2168"/>
  <c r="S33" i="2168"/>
  <c r="T33" i="2168"/>
  <c r="K5" i="2168"/>
  <c r="K6" i="2168"/>
  <c r="K7" i="2168"/>
  <c r="J10" i="2166"/>
  <c r="L25" i="2168"/>
  <c r="L22" i="2168"/>
  <c r="D1" i="2168"/>
  <c r="L26" i="2166"/>
  <c r="L27" i="2166"/>
  <c r="L28" i="2166"/>
  <c r="L29" i="2166"/>
  <c r="L30" i="2166"/>
  <c r="L31" i="2166"/>
  <c r="L32" i="2166"/>
  <c r="L33" i="2166"/>
  <c r="L34" i="2166"/>
  <c r="J6" i="2166"/>
  <c r="J5" i="2166"/>
  <c r="J13" i="2166"/>
  <c r="R19" i="2168"/>
  <c r="G7" i="2163"/>
  <c r="G8" i="2163"/>
  <c r="G9" i="2163"/>
  <c r="G12" i="2163"/>
  <c r="G13" i="2163"/>
  <c r="G14" i="2163"/>
  <c r="G15" i="2163"/>
  <c r="G16" i="2163"/>
  <c r="G17" i="2163"/>
  <c r="G18" i="2163"/>
  <c r="G19" i="2163"/>
  <c r="G20" i="2163"/>
  <c r="G21" i="2163"/>
  <c r="G22" i="2163"/>
  <c r="G23" i="2163"/>
  <c r="G24" i="2163"/>
  <c r="G25" i="2163"/>
  <c r="G26" i="2163"/>
  <c r="G27" i="2163"/>
  <c r="G28" i="2163"/>
  <c r="G29" i="2163"/>
  <c r="G30" i="2163"/>
  <c r="G31" i="2163"/>
  <c r="G32" i="2163"/>
  <c r="G33" i="2163"/>
  <c r="G34" i="2163"/>
  <c r="G35" i="2163"/>
  <c r="G36" i="2163"/>
  <c r="G37" i="2163"/>
  <c r="G38" i="2163"/>
  <c r="H10" i="2163"/>
  <c r="H42" i="2163"/>
  <c r="H39" i="2163"/>
  <c r="H43" i="2163"/>
  <c r="H44" i="2163"/>
  <c r="G10" i="2163"/>
  <c r="G42" i="2163"/>
  <c r="G39" i="2163"/>
  <c r="G43" i="2163"/>
  <c r="G44" i="2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D3" authorId="0" shapeId="0" xr:uid="{00000000-0006-0000-0000-000001000000}">
      <text>
        <r>
          <rPr>
            <b/>
            <sz val="16"/>
            <color indexed="81"/>
            <rFont val="Seravek"/>
          </rPr>
          <t xml:space="preserve"> ◀ See the red triangle in the corner of the box?
     This means there is a hidden "comment" in that box.
     Hover your mouse to read them.
  Welcome to Juan's Budget!
  First,
</t>
        </r>
        <r>
          <rPr>
            <sz val="16"/>
            <color indexed="81"/>
            <rFont val="Seravek"/>
          </rPr>
          <t xml:space="preserve">   Read "Juan's Background Story."
   You can find his story by scrolling to the right to Column W.
</t>
        </r>
        <r>
          <rPr>
            <b/>
            <sz val="16"/>
            <color indexed="81"/>
            <rFont val="Seravek"/>
          </rPr>
          <t xml:space="preserve">
  Then,
  </t>
        </r>
        <r>
          <rPr>
            <sz val="16"/>
            <color indexed="81"/>
            <rFont val="Seravek"/>
          </rPr>
          <t xml:space="preserve">Complete Steps #2, #3, #4, and #5 as listed below to help Juan balance his budget.
</t>
        </r>
        <r>
          <rPr>
            <b/>
            <sz val="16"/>
            <color indexed="81"/>
            <rFont val="Seravek"/>
          </rPr>
          <t xml:space="preserve">  Hint:
  </t>
        </r>
        <r>
          <rPr>
            <sz val="16"/>
            <color indexed="81"/>
            <rFont val="Seravek"/>
          </rPr>
          <t>The "</t>
        </r>
        <r>
          <rPr>
            <b/>
            <sz val="16"/>
            <color indexed="81"/>
            <rFont val="Seravek"/>
          </rPr>
          <t>How Did I Do</t>
        </r>
        <r>
          <rPr>
            <sz val="16"/>
            <color indexed="81"/>
            <rFont val="Seravek"/>
          </rPr>
          <t>" button at the bottom left of this file will allow you to check your work at any time.</t>
        </r>
        <r>
          <rPr>
            <b/>
            <sz val="16"/>
            <color indexed="81"/>
            <rFont val="Seravek"/>
          </rPr>
          <t xml:space="preserve">
</t>
        </r>
        <r>
          <rPr>
            <b/>
            <sz val="16"/>
            <color indexed="81"/>
            <rFont val="S"/>
          </rPr>
          <t xml:space="preserve">
</t>
        </r>
      </text>
    </comment>
    <comment ref="D5" authorId="1" shapeId="0" xr:uid="{00000000-0006-0000-0000-000002000000}">
      <text>
        <r>
          <rPr>
            <b/>
            <sz val="18"/>
            <color indexed="81"/>
            <rFont val="Seravek"/>
          </rPr>
          <t xml:space="preserve">Step 2 Instructions
</t>
        </r>
        <r>
          <rPr>
            <sz val="18"/>
            <color indexed="81"/>
            <rFont val="Seravek"/>
          </rPr>
          <t>Scroll to the right to find "Juan's Receipt Record". Then, scroll to the bottom of the entries. You will find pictures of Juan's three remaining receipts.
Type in Juan's Remaining Receipts in the spaces provided.</t>
        </r>
        <r>
          <rPr>
            <sz val="18"/>
            <color indexed="81"/>
            <rFont val="Calibri"/>
            <family val="2"/>
          </rPr>
          <t xml:space="preserve">
</t>
        </r>
      </text>
    </comment>
    <comment ref="L5" authorId="1" shapeId="0" xr:uid="{00000000-0006-0000-0000-000003000000}">
      <text>
        <r>
          <rPr>
            <b/>
            <sz val="18"/>
            <color indexed="81"/>
            <rFont val="Seravek"/>
          </rPr>
          <t xml:space="preserve">Hint:   </t>
        </r>
        <r>
          <rPr>
            <sz val="18"/>
            <color indexed="81"/>
            <rFont val="Seravek"/>
          </rPr>
          <t xml:space="preserve">For each Semesterly Income category, estimate the total Juan will receive during his first year of school (two semesters). </t>
        </r>
        <r>
          <rPr>
            <b/>
            <u/>
            <sz val="18"/>
            <color indexed="81"/>
            <rFont val="Seravek"/>
          </rPr>
          <t>Be sure to include his January amounts.</t>
        </r>
        <r>
          <rPr>
            <sz val="18"/>
            <color indexed="81"/>
            <rFont val="Seravek"/>
          </rPr>
          <t xml:space="preserve">
As explained in "Juan's Background Story" he received a </t>
        </r>
        <r>
          <rPr>
            <b/>
            <sz val="18"/>
            <color indexed="81"/>
            <rFont val="Seravek"/>
          </rPr>
          <t>$500 scholarship</t>
        </r>
        <r>
          <rPr>
            <sz val="18"/>
            <color indexed="81"/>
            <rFont val="Seravek"/>
          </rPr>
          <t xml:space="preserve"> this semester that he expects to receive again next semester. 
Juan received a </t>
        </r>
        <r>
          <rPr>
            <b/>
            <sz val="18"/>
            <color indexed="81"/>
            <rFont val="Seravek"/>
          </rPr>
          <t>gift for $50</t>
        </r>
        <r>
          <rPr>
            <sz val="18"/>
            <color indexed="81"/>
            <rFont val="Seravek"/>
          </rPr>
          <t xml:space="preserve"> from his parents that he assumes will </t>
        </r>
        <r>
          <rPr>
            <b/>
            <sz val="18"/>
            <color indexed="81"/>
            <rFont val="Seravek"/>
          </rPr>
          <t>not</t>
        </r>
        <r>
          <rPr>
            <sz val="18"/>
            <color indexed="81"/>
            <rFont val="Seravek"/>
          </rPr>
          <t xml:space="preserve"> happen again. 
</t>
        </r>
        <r>
          <rPr>
            <sz val="18"/>
            <color indexed="81"/>
            <rFont val="Calibri"/>
            <family val="2"/>
          </rPr>
          <t xml:space="preserve">
</t>
        </r>
      </text>
    </comment>
    <comment ref="D7" authorId="1" shapeId="0" xr:uid="{00000000-0006-0000-0000-000004000000}">
      <text>
        <r>
          <rPr>
            <b/>
            <sz val="18"/>
            <color indexed="81"/>
            <rFont val="Seravek"/>
          </rPr>
          <t xml:space="preserve">Step 3 Instructions
</t>
        </r>
        <r>
          <rPr>
            <sz val="18"/>
            <color indexed="81"/>
            <rFont val="Seravek"/>
          </rPr>
          <t xml:space="preserve">Calculate the amount of income that Juan will gain from Scholarships and Gifts over the two semesters.
Then, estimate the amounts that Juan will spend in each Semesterly Expenses category over two semesters.
Compute Juan's new Savings Balance by subtracting his Expenses and adding his Income.
</t>
        </r>
        <r>
          <rPr>
            <sz val="18"/>
            <color indexed="81"/>
            <rFont val="Calibri"/>
            <family val="2"/>
          </rPr>
          <t xml:space="preserve">
</t>
        </r>
      </text>
    </comment>
    <comment ref="L9" authorId="1" shapeId="0" xr:uid="{00000000-0006-0000-0000-000005000000}">
      <text>
        <r>
          <rPr>
            <b/>
            <sz val="18"/>
            <color indexed="81"/>
            <rFont val="Seravek"/>
          </rPr>
          <t xml:space="preserve">Hint:  </t>
        </r>
        <r>
          <rPr>
            <sz val="18"/>
            <color indexed="81"/>
            <rFont val="Seravek"/>
          </rPr>
          <t xml:space="preserve">For each Semesterly Expense, estimate the total Juan will spend during his first year of school (two semesters including the January amounts).
Assume he will spend the exact same amounts next semester.
Be careful with </t>
        </r>
        <r>
          <rPr>
            <b/>
            <sz val="18"/>
            <color indexed="81"/>
            <rFont val="Seravek"/>
          </rPr>
          <t>Tithing</t>
        </r>
        <r>
          <rPr>
            <sz val="18"/>
            <color indexed="81"/>
            <rFont val="Seravek"/>
          </rPr>
          <t xml:space="preserve">, it should be </t>
        </r>
        <r>
          <rPr>
            <b/>
            <sz val="18"/>
            <color indexed="81"/>
            <rFont val="Seravek"/>
          </rPr>
          <t>10%</t>
        </r>
        <r>
          <rPr>
            <sz val="18"/>
            <color indexed="81"/>
            <rFont val="Seravek"/>
          </rPr>
          <t xml:space="preserve"> of his Estimated Total Semesterly Income.
</t>
        </r>
        <r>
          <rPr>
            <sz val="18"/>
            <color indexed="81"/>
            <rFont val="Calibri"/>
            <family val="2"/>
          </rPr>
          <t xml:space="preserve">
</t>
        </r>
      </text>
    </comment>
    <comment ref="D10" authorId="1" shapeId="0" xr:uid="{00000000-0006-0000-0000-000006000000}">
      <text>
        <r>
          <rPr>
            <b/>
            <sz val="18"/>
            <color indexed="81"/>
            <rFont val="Seravek"/>
          </rPr>
          <t xml:space="preserve">Step 4 Instructions
</t>
        </r>
        <r>
          <rPr>
            <sz val="18"/>
            <color indexed="81"/>
            <rFont val="Seravek"/>
          </rPr>
          <t>There are many ways to reorganize Juan's budget to help him stay more within his means. 
You need to come up with a 7 month budget model that will help him get there without running out of his Savings.</t>
        </r>
      </text>
    </comment>
    <comment ref="L16" authorId="1" shapeId="0" xr:uid="{00000000-0006-0000-0000-000007000000}">
      <text>
        <r>
          <rPr>
            <b/>
            <sz val="18"/>
            <color indexed="81"/>
            <rFont val="Seravek"/>
          </rPr>
          <t xml:space="preserve">Hint: </t>
        </r>
        <r>
          <rPr>
            <sz val="18"/>
            <color indexed="81"/>
            <rFont val="Seravek"/>
          </rPr>
          <t xml:space="preserve">Remember that Juan had saved $8,615 </t>
        </r>
        <r>
          <rPr>
            <b/>
            <sz val="18"/>
            <color indexed="81"/>
            <rFont val="Seravek"/>
          </rPr>
          <t>before</t>
        </r>
        <r>
          <rPr>
            <sz val="18"/>
            <color indexed="81"/>
            <rFont val="Seravek"/>
          </rPr>
          <t xml:space="preserve"> the start of the semester. 
How much does he have left in his Savings account after removing his </t>
        </r>
        <r>
          <rPr>
            <b/>
            <sz val="18"/>
            <color indexed="81"/>
            <rFont val="Seravek"/>
          </rPr>
          <t>Estimated Semesterly Expenses</t>
        </r>
        <r>
          <rPr>
            <sz val="18"/>
            <color indexed="81"/>
            <rFont val="Seravek"/>
          </rPr>
          <t xml:space="preserve"> and adding his</t>
        </r>
        <r>
          <rPr>
            <b/>
            <sz val="18"/>
            <color indexed="81"/>
            <rFont val="Seravek"/>
          </rPr>
          <t xml:space="preserve"> Estimated Semesterly Income</t>
        </r>
        <r>
          <rPr>
            <sz val="18"/>
            <color indexed="81"/>
            <rFont val="Seravek"/>
          </rPr>
          <t xml:space="preserve">?
The answer should be typed into his </t>
        </r>
        <r>
          <rPr>
            <b/>
            <sz val="18"/>
            <color indexed="81"/>
            <rFont val="Seravek"/>
          </rPr>
          <t>New Savings Balance</t>
        </r>
        <r>
          <rPr>
            <sz val="18"/>
            <color indexed="81"/>
            <rFont val="Seravek"/>
          </rPr>
          <t xml:space="preserve">.
</t>
        </r>
        <r>
          <rPr>
            <sz val="18"/>
            <color indexed="81"/>
            <rFont val="Calibri"/>
            <family val="2"/>
          </rPr>
          <t xml:space="preserve">
</t>
        </r>
      </text>
    </comment>
    <comment ref="L21" authorId="1" shapeId="0" xr:uid="{00000000-0006-0000-0000-000008000000}">
      <text>
        <r>
          <rPr>
            <b/>
            <sz val="18"/>
            <color indexed="81"/>
            <rFont val="Seravek"/>
          </rPr>
          <t xml:space="preserve">Instructions:  </t>
        </r>
        <r>
          <rPr>
            <sz val="18"/>
            <color indexed="81"/>
            <rFont val="Seravek"/>
          </rPr>
          <t xml:space="preserve">As explained in "Juan's Background Story" he receives two paychecks each month for a total income of $135.00 a month. 
Assume he continues to make the same amount each month. 
</t>
        </r>
        <r>
          <rPr>
            <sz val="18"/>
            <color indexed="81"/>
            <rFont val="Calibri"/>
            <family val="2"/>
          </rPr>
          <t xml:space="preserve">
</t>
        </r>
      </text>
    </comment>
    <comment ref="L22" authorId="1" shapeId="0" xr:uid="{00000000-0006-0000-0000-000009000000}">
      <text>
        <r>
          <rPr>
            <b/>
            <sz val="18"/>
            <color indexed="81"/>
            <rFont val="Seravek"/>
          </rPr>
          <t xml:space="preserve">Instructions:  </t>
        </r>
        <r>
          <rPr>
            <sz val="18"/>
            <color indexed="81"/>
            <rFont val="Seravek"/>
          </rPr>
          <t xml:space="preserve">Juan spent more in January than he earned from his monthly paychecks. He must </t>
        </r>
        <r>
          <rPr>
            <b/>
            <sz val="18"/>
            <color indexed="81"/>
            <rFont val="Seravek"/>
          </rPr>
          <t>take</t>
        </r>
        <r>
          <rPr>
            <sz val="18"/>
            <color indexed="81"/>
            <rFont val="Seravek"/>
          </rPr>
          <t xml:space="preserve"> money from his </t>
        </r>
        <r>
          <rPr>
            <b/>
            <sz val="18"/>
            <color indexed="81"/>
            <rFont val="Seravek"/>
          </rPr>
          <t>Savings</t>
        </r>
        <r>
          <rPr>
            <sz val="18"/>
            <color indexed="81"/>
            <rFont val="Seravek"/>
          </rPr>
          <t xml:space="preserve"> to get his </t>
        </r>
        <r>
          <rPr>
            <b/>
            <u/>
            <sz val="18"/>
            <color indexed="81"/>
            <rFont val="Seravek"/>
          </rPr>
          <t>January Cash</t>
        </r>
        <r>
          <rPr>
            <u/>
            <sz val="18"/>
            <color indexed="81"/>
            <rFont val="Seravek"/>
          </rPr>
          <t xml:space="preserve"> </t>
        </r>
        <r>
          <rPr>
            <b/>
            <u/>
            <sz val="18"/>
            <color indexed="81"/>
            <rFont val="Seravek"/>
          </rPr>
          <t>Flow</t>
        </r>
        <r>
          <rPr>
            <sz val="18"/>
            <color indexed="81"/>
            <rFont val="Seravek"/>
          </rPr>
          <t xml:space="preserve"> to equal </t>
        </r>
        <r>
          <rPr>
            <b/>
            <u/>
            <sz val="18"/>
            <color indexed="81"/>
            <rFont val="Seravek"/>
          </rPr>
          <t>zero</t>
        </r>
        <r>
          <rPr>
            <b/>
            <sz val="18"/>
            <color indexed="81"/>
            <rFont val="Seravek"/>
          </rPr>
          <t xml:space="preserve">.
The New Savings Balance (cell K16) minus Juan's Savings Withdrawal in January (cell J22) equals Juan's Savings to divide up and use the remaining 7 months of Juan's two semesters.
</t>
        </r>
        <r>
          <rPr>
            <sz val="18"/>
            <color indexed="81"/>
            <rFont val="Seravek"/>
          </rPr>
          <t xml:space="preserve">Once you establish Juan's new Monthly Goals, he will also need to </t>
        </r>
        <r>
          <rPr>
            <b/>
            <sz val="18"/>
            <color indexed="81"/>
            <rFont val="Seravek"/>
          </rPr>
          <t>take</t>
        </r>
        <r>
          <rPr>
            <sz val="18"/>
            <color indexed="81"/>
            <rFont val="Seravek"/>
          </rPr>
          <t xml:space="preserve"> a monthly amount of money from his </t>
        </r>
        <r>
          <rPr>
            <b/>
            <sz val="18"/>
            <color indexed="81"/>
            <rFont val="Seravek"/>
          </rPr>
          <t>Remaining</t>
        </r>
        <r>
          <rPr>
            <sz val="18"/>
            <color indexed="81"/>
            <rFont val="Seravek"/>
          </rPr>
          <t xml:space="preserve"> </t>
        </r>
        <r>
          <rPr>
            <b/>
            <sz val="18"/>
            <color indexed="81"/>
            <rFont val="Seravek"/>
          </rPr>
          <t>Savings</t>
        </r>
        <r>
          <rPr>
            <sz val="18"/>
            <color indexed="81"/>
            <rFont val="Seravek"/>
          </rPr>
          <t xml:space="preserve"> to make his </t>
        </r>
        <r>
          <rPr>
            <b/>
            <u/>
            <sz val="18"/>
            <color indexed="81"/>
            <rFont val="Seravek"/>
          </rPr>
          <t>Monthly Goal Cash Flow</t>
        </r>
        <r>
          <rPr>
            <sz val="18"/>
            <color indexed="81"/>
            <rFont val="Seravek"/>
          </rPr>
          <t xml:space="preserve"> equal </t>
        </r>
        <r>
          <rPr>
            <b/>
            <u/>
            <sz val="18"/>
            <color indexed="81"/>
            <rFont val="Seravek"/>
          </rPr>
          <t>zero</t>
        </r>
        <r>
          <rPr>
            <b/>
            <sz val="18"/>
            <color indexed="81"/>
            <rFont val="Seravek"/>
          </rPr>
          <t>.</t>
        </r>
        <r>
          <rPr>
            <sz val="18"/>
            <color indexed="81"/>
            <rFont val="Seravek"/>
          </rPr>
          <t xml:space="preserve"> 
(</t>
        </r>
        <r>
          <rPr>
            <b/>
            <i/>
            <u/>
            <sz val="18"/>
            <color indexed="81"/>
            <rFont val="Seravek"/>
          </rPr>
          <t xml:space="preserve">IMPORTANT NOTE: </t>
        </r>
        <r>
          <rPr>
            <sz val="18"/>
            <color indexed="81"/>
            <rFont val="Seravek"/>
          </rPr>
          <t xml:space="preserve">This will </t>
        </r>
        <r>
          <rPr>
            <b/>
            <u/>
            <sz val="18"/>
            <color indexed="81"/>
            <rFont val="Seravek"/>
          </rPr>
          <t>NOT</t>
        </r>
        <r>
          <rPr>
            <sz val="18"/>
            <color indexed="81"/>
            <rFont val="Seravek"/>
          </rPr>
          <t xml:space="preserve"> show "Correct" until his </t>
        </r>
        <r>
          <rPr>
            <b/>
            <u/>
            <sz val="18"/>
            <color indexed="81"/>
            <rFont val="Seravek"/>
          </rPr>
          <t>Monthly Goal Cash Flow,</t>
        </r>
        <r>
          <rPr>
            <sz val="18"/>
            <color indexed="81"/>
            <rFont val="Seravek"/>
          </rPr>
          <t xml:space="preserve"> cell K37,equal </t>
        </r>
        <r>
          <rPr>
            <b/>
            <u/>
            <sz val="18"/>
            <color indexed="81"/>
            <rFont val="Seravek"/>
          </rPr>
          <t>zero</t>
        </r>
        <r>
          <rPr>
            <sz val="18"/>
            <color indexed="81"/>
            <rFont val="Seravek"/>
          </rPr>
          <t xml:space="preserve"> and the </t>
        </r>
        <r>
          <rPr>
            <b/>
            <u/>
            <sz val="18"/>
            <color indexed="81"/>
            <rFont val="Seravek"/>
          </rPr>
          <t>Juan's Final Saving Balance at the end of Two Semesters,</t>
        </r>
        <r>
          <rPr>
            <sz val="18"/>
            <color indexed="81"/>
            <rFont val="Seravek"/>
          </rPr>
          <t xml:space="preserve"> cell K40, is</t>
        </r>
        <r>
          <rPr>
            <b/>
            <u/>
            <sz val="18"/>
            <color indexed="81"/>
            <rFont val="Seravek"/>
          </rPr>
          <t xml:space="preserve"> zero or greater</t>
        </r>
        <r>
          <rPr>
            <sz val="18"/>
            <color indexed="81"/>
            <rFont val="Seravek"/>
          </rPr>
          <t xml:space="preserve">)
Caution: </t>
        </r>
        <r>
          <rPr>
            <b/>
            <sz val="18"/>
            <color indexed="81"/>
            <rFont val="Seravek"/>
          </rPr>
          <t>Don't take more</t>
        </r>
        <r>
          <rPr>
            <sz val="18"/>
            <color indexed="81"/>
            <rFont val="Seravek"/>
          </rPr>
          <t xml:space="preserve"> out of his Savings </t>
        </r>
        <r>
          <rPr>
            <b/>
            <sz val="18"/>
            <color indexed="81"/>
            <rFont val="Seravek"/>
          </rPr>
          <t>than he</t>
        </r>
        <r>
          <rPr>
            <sz val="18"/>
            <color indexed="81"/>
            <rFont val="Seravek"/>
          </rPr>
          <t xml:space="preserve"> actually </t>
        </r>
        <r>
          <rPr>
            <b/>
            <sz val="18"/>
            <color indexed="81"/>
            <rFont val="Seravek"/>
          </rPr>
          <t>has!</t>
        </r>
        <r>
          <rPr>
            <sz val="18"/>
            <color indexed="81"/>
            <rFont val="Seravek"/>
          </rPr>
          <t xml:space="preserve">
</t>
        </r>
        <r>
          <rPr>
            <sz val="18"/>
            <color indexed="81"/>
            <rFont val="Calibri"/>
            <family val="2"/>
          </rPr>
          <t xml:space="preserve">
</t>
        </r>
      </text>
    </comment>
    <comment ref="L24" authorId="1" shapeId="0" xr:uid="{00000000-0006-0000-0000-00000A000000}">
      <text>
        <r>
          <rPr>
            <b/>
            <sz val="18"/>
            <color indexed="81"/>
            <rFont val="Seravek"/>
          </rPr>
          <t xml:space="preserve">Instructions:  </t>
        </r>
        <r>
          <rPr>
            <sz val="18"/>
            <color indexed="81"/>
            <rFont val="Seravek"/>
          </rPr>
          <t xml:space="preserve">Create </t>
        </r>
        <r>
          <rPr>
            <b/>
            <sz val="18"/>
            <color indexed="81"/>
            <rFont val="Seravek"/>
          </rPr>
          <t>Monthly Goals</t>
        </r>
        <r>
          <rPr>
            <sz val="18"/>
            <color indexed="81"/>
            <rFont val="Seravek"/>
          </rPr>
          <t xml:space="preserve"> for each of Juan's Monthly Expenses. 
The Goals should be </t>
        </r>
        <r>
          <rPr>
            <b/>
            <sz val="18"/>
            <color indexed="81"/>
            <rFont val="Seravek"/>
          </rPr>
          <t>reasonable</t>
        </r>
        <r>
          <rPr>
            <sz val="18"/>
            <color indexed="81"/>
            <rFont val="Seravek"/>
          </rPr>
          <t xml:space="preserve"> and </t>
        </r>
        <r>
          <rPr>
            <b/>
            <sz val="18"/>
            <color indexed="81"/>
            <rFont val="Seravek"/>
          </rPr>
          <t>realistic.</t>
        </r>
        <r>
          <rPr>
            <sz val="18"/>
            <color indexed="81"/>
            <rFont val="Seravek"/>
          </rPr>
          <t xml:space="preserve">
</t>
        </r>
        <r>
          <rPr>
            <b/>
            <sz val="18"/>
            <color indexed="81"/>
            <rFont val="Seravek"/>
          </rPr>
          <t>Explain</t>
        </r>
        <r>
          <rPr>
            <sz val="18"/>
            <color indexed="81"/>
            <rFont val="Seravek"/>
          </rPr>
          <t xml:space="preserve"> all of your changes in the textbox provided in Column D, Step #5 of this file.
</t>
        </r>
        <r>
          <rPr>
            <sz val="18"/>
            <color indexed="81"/>
            <rFont val="Calibri"/>
            <family val="2"/>
          </rPr>
          <t xml:space="preserve">
</t>
        </r>
      </text>
    </comment>
    <comment ref="O31" authorId="0" shapeId="0" xr:uid="{00000000-0006-0000-0000-00000B000000}">
      <text>
        <r>
          <rPr>
            <b/>
            <sz val="9"/>
            <color indexed="81"/>
            <rFont val="Tahoma"/>
            <family val="2"/>
          </rPr>
          <t xml:space="preserve">
  </t>
        </r>
        <r>
          <rPr>
            <b/>
            <sz val="16"/>
            <color indexed="81"/>
            <rFont val="Tahoma"/>
            <family val="2"/>
          </rPr>
          <t xml:space="preserve">Type the date of the receipt here, in the format Month/Day 
</t>
        </r>
      </text>
    </comment>
    <comment ref="P31" authorId="0" shapeId="0" xr:uid="{00000000-0006-0000-0000-00000C000000}">
      <text>
        <r>
          <rPr>
            <b/>
            <sz val="9"/>
            <color indexed="81"/>
            <rFont val="Tahoma"/>
            <family val="2"/>
          </rPr>
          <t xml:space="preserve">
  </t>
        </r>
        <r>
          <rPr>
            <b/>
            <sz val="16"/>
            <color indexed="81"/>
            <rFont val="Tahoma"/>
            <family val="2"/>
          </rPr>
          <t>Type the name of the store or organization into this box.</t>
        </r>
      </text>
    </comment>
    <comment ref="Q31" authorId="0" shapeId="0" xr:uid="{00000000-0006-0000-0000-00000D000000}">
      <text>
        <r>
          <rPr>
            <b/>
            <sz val="9"/>
            <color indexed="81"/>
            <rFont val="Tahoma"/>
            <family val="2"/>
          </rPr>
          <t xml:space="preserve">
  </t>
        </r>
        <r>
          <rPr>
            <b/>
            <sz val="16"/>
            <color indexed="81"/>
            <rFont val="Tahoma"/>
            <family val="2"/>
          </rPr>
          <t xml:space="preserve">Type a useful description for the receipt into this box. 
</t>
        </r>
      </text>
    </comment>
    <comment ref="R31" authorId="0" shapeId="0" xr:uid="{00000000-0006-0000-0000-00000E000000}">
      <text>
        <r>
          <rPr>
            <b/>
            <sz val="9"/>
            <color indexed="81"/>
            <rFont val="Tahoma"/>
            <family val="2"/>
          </rPr>
          <t xml:space="preserve">
  </t>
        </r>
        <r>
          <rPr>
            <b/>
            <sz val="16"/>
            <color indexed="81"/>
            <rFont val="Tahoma"/>
            <family val="2"/>
          </rPr>
          <t xml:space="preserve">Type the amount. 
</t>
        </r>
      </text>
    </comment>
    <comment ref="S31" authorId="0" shapeId="0" xr:uid="{00000000-0006-0000-0000-00000F000000}">
      <text>
        <r>
          <rPr>
            <b/>
            <sz val="9"/>
            <color indexed="81"/>
            <rFont val="Tahoma"/>
            <family val="2"/>
          </rPr>
          <t xml:space="preserve">
  </t>
        </r>
        <r>
          <rPr>
            <b/>
            <sz val="16"/>
            <color indexed="81"/>
            <rFont val="Tahoma"/>
            <family val="2"/>
          </rPr>
          <t xml:space="preserve">Select the Budget Category. 
</t>
        </r>
      </text>
    </comment>
    <comment ref="T31" authorId="0" shapeId="0" xr:uid="{00000000-0006-0000-0000-000010000000}">
      <text>
        <r>
          <rPr>
            <b/>
            <sz val="9"/>
            <color indexed="81"/>
            <rFont val="Tahoma"/>
            <family val="2"/>
          </rPr>
          <t xml:space="preserve">
  </t>
        </r>
        <r>
          <rPr>
            <b/>
            <sz val="16"/>
            <color indexed="81"/>
            <rFont val="Tahoma"/>
            <family val="2"/>
          </rPr>
          <t xml:space="preserve">Select the Payment Method
</t>
        </r>
      </text>
    </comment>
    <comment ref="L37" authorId="1" shapeId="0" xr:uid="{00000000-0006-0000-0000-000011000000}">
      <text>
        <r>
          <rPr>
            <b/>
            <sz val="18"/>
            <color indexed="81"/>
            <rFont val="Seravek"/>
          </rPr>
          <t>Instructions:</t>
        </r>
        <r>
          <rPr>
            <sz val="18"/>
            <color indexed="81"/>
            <rFont val="Seravek"/>
          </rPr>
          <t xml:space="preserve">The cash flow cells should be a formula that takes the 
</t>
        </r>
        <r>
          <rPr>
            <b/>
            <sz val="18"/>
            <color indexed="81"/>
            <rFont val="Seravek"/>
          </rPr>
          <t>"Total Monthly Income"</t>
        </r>
        <r>
          <rPr>
            <sz val="18"/>
            <color indexed="81"/>
            <rFont val="Seravek"/>
          </rPr>
          <t xml:space="preserve"> and subtracts the </t>
        </r>
        <r>
          <rPr>
            <b/>
            <sz val="18"/>
            <color indexed="81"/>
            <rFont val="Seravek"/>
          </rPr>
          <t>"Total Monthly Expenses"
If the budget is balanced, these will equal zero.</t>
        </r>
      </text>
    </comment>
    <comment ref="L40" authorId="1" shapeId="0" xr:uid="{00000000-0006-0000-0000-000012000000}">
      <text>
        <r>
          <rPr>
            <b/>
            <sz val="18"/>
            <color indexed="81"/>
            <rFont val="Seravek"/>
          </rPr>
          <t xml:space="preserve">Instructions: </t>
        </r>
        <r>
          <rPr>
            <sz val="18"/>
            <color indexed="81"/>
            <rFont val="Seravek"/>
          </rPr>
          <t>How much will Juan have left in his Savings Balance if he follows your Monthly Goal each month for the remaining 7 months of his combined two semesters?</t>
        </r>
        <r>
          <rPr>
            <sz val="18"/>
            <color indexed="81"/>
            <rFont val="Calibri"/>
            <family val="2"/>
          </rPr>
          <t xml:space="preserve">
</t>
        </r>
        <r>
          <rPr>
            <sz val="14"/>
            <color indexed="81"/>
            <rFont val="Calibri"/>
          </rPr>
          <t>Hint: New Savings Balance  minus Savings Withdrawal in January minus each of the Savings Withdrawals he will make under your Monthly Goal over 7 months.
Be careful to not take more out of his savings than he actually has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3" authorId="0" shapeId="0" xr:uid="{00000000-0006-0000-0200-000001000000}">
      <text>
        <r>
          <rPr>
            <b/>
            <sz val="16"/>
            <color indexed="81"/>
            <rFont val="Calibri"/>
            <family val="2"/>
          </rPr>
          <t>This Budget page is for your personal use, if you are interested. 
It is recommend that you use one copy of this sheet per month.
To make more copies of this sheet, 
 1. Right click on the "My Budget (Optional)" tab at the bottom left of this window. 
 2. Select "Move or Copy…" 
 3. Select "(move to end)"
 4. Check the box for "create a copy"
 5. Press "Okay" 
Type your next Month's receipts on the new sheet.</t>
        </r>
      </text>
    </comment>
  </commentList>
</comments>
</file>

<file path=xl/sharedStrings.xml><?xml version="1.0" encoding="utf-8"?>
<sst xmlns="http://schemas.openxmlformats.org/spreadsheetml/2006/main" count="409" uniqueCount="151">
  <si>
    <t>Gifts</t>
  </si>
  <si>
    <t>Tithing</t>
  </si>
  <si>
    <t>fast offering</t>
  </si>
  <si>
    <t>Travel</t>
  </si>
  <si>
    <t>School Supplies</t>
  </si>
  <si>
    <t>Check</t>
  </si>
  <si>
    <t>Goal</t>
  </si>
  <si>
    <t>Cell Phone</t>
  </si>
  <si>
    <t>Cash</t>
  </si>
  <si>
    <t>Date</t>
  </si>
  <si>
    <t>Expense Category</t>
  </si>
  <si>
    <t>Goal</t>
    <phoneticPr fontId="2" type="noConversion"/>
  </si>
  <si>
    <t>Credit Card</t>
  </si>
  <si>
    <t>Cash Flow Summary</t>
  </si>
  <si>
    <t>Total Income</t>
  </si>
  <si>
    <t>Total Expenses</t>
  </si>
  <si>
    <t>Amount</t>
  </si>
  <si>
    <t>Store</t>
  </si>
  <si>
    <t>Details</t>
  </si>
  <si>
    <t>Payment Method</t>
  </si>
  <si>
    <t>The Housing Place</t>
  </si>
  <si>
    <t>start of semester groceries</t>
  </si>
  <si>
    <t>first semester housing contract</t>
  </si>
  <si>
    <t>textbooks</t>
  </si>
  <si>
    <t>Textbooks</t>
  </si>
  <si>
    <t>forgot my lunch</t>
  </si>
  <si>
    <t>ear muffs</t>
  </si>
  <si>
    <t>monthly cell phone bill</t>
  </si>
  <si>
    <t>weekly groceries</t>
  </si>
  <si>
    <t>Housing</t>
  </si>
  <si>
    <t>January</t>
  </si>
  <si>
    <t>Gauss's Market</t>
  </si>
  <si>
    <t>Frozen Berry Shoppe</t>
  </si>
  <si>
    <t>Tuition</t>
  </si>
  <si>
    <t>Charitable Donations</t>
  </si>
  <si>
    <t>tuition</t>
  </si>
  <si>
    <t>Taxes</t>
  </si>
  <si>
    <t>Payroll Deduction</t>
  </si>
  <si>
    <t>Debit Card</t>
  </si>
  <si>
    <t>Direct Deposit</t>
  </si>
  <si>
    <t>Paycheck</t>
  </si>
  <si>
    <t>Income</t>
  </si>
  <si>
    <t>Financial Aid</t>
  </si>
  <si>
    <t>Expenses</t>
  </si>
  <si>
    <t>Total Income:</t>
  </si>
  <si>
    <t>Total Expenses:</t>
  </si>
  <si>
    <t>Monthly Cash Flow:</t>
  </si>
  <si>
    <t>taxes paid directly from my paycheck</t>
  </si>
  <si>
    <t>blessings!</t>
  </si>
  <si>
    <t>#3</t>
  </si>
  <si>
    <t>#4</t>
  </si>
  <si>
    <t>#2</t>
  </si>
  <si>
    <t>Step 1.</t>
  </si>
  <si>
    <t>Step 2.</t>
  </si>
  <si>
    <t>Step 3.</t>
  </si>
  <si>
    <t>Step 4.</t>
  </si>
  <si>
    <r>
      <rPr>
        <b/>
        <sz val="20"/>
        <color rgb="FF009CD0"/>
        <rFont val="Geneva"/>
      </rPr>
      <t>Hover Mouse</t>
    </r>
    <r>
      <rPr>
        <b/>
        <sz val="20"/>
        <color theme="0" tint="-0.499984740745262"/>
        <rFont val="Geneva"/>
      </rPr>
      <t xml:space="preserve"> here to begin.</t>
    </r>
  </si>
  <si>
    <t>Step 5.</t>
  </si>
  <si>
    <t>Groceries</t>
  </si>
  <si>
    <t>Eating Out</t>
  </si>
  <si>
    <t>My Receipt Record</t>
  </si>
  <si>
    <t>Monthly</t>
  </si>
  <si>
    <t>Note</t>
  </si>
  <si>
    <t>Income Label 1</t>
  </si>
  <si>
    <t>Income Label 2</t>
  </si>
  <si>
    <t>Expense 1</t>
  </si>
  <si>
    <t>Expense 2</t>
  </si>
  <si>
    <t>Expense 3</t>
  </si>
  <si>
    <t>Customize these labels</t>
  </si>
  <si>
    <t>BYU-Idaho Bookstore</t>
  </si>
  <si>
    <t>My Boss</t>
  </si>
  <si>
    <t>The Church of Jesus Christ of Latter-day Saints</t>
  </si>
  <si>
    <t>The Cellphone Company</t>
  </si>
  <si>
    <t>BYU-Idaho Bursar's Office</t>
  </si>
  <si>
    <t>The Government</t>
  </si>
  <si>
    <t>Financial Aid Office</t>
  </si>
  <si>
    <t>scholarship money</t>
  </si>
  <si>
    <t>Mom &amp; Dad</t>
  </si>
  <si>
    <t>gift to me for starting school</t>
  </si>
  <si>
    <t>Other Income</t>
  </si>
  <si>
    <t>Fuel Center</t>
  </si>
  <si>
    <t>regular fill up for my car</t>
  </si>
  <si>
    <t xml:space="preserve">first paycheck </t>
  </si>
  <si>
    <t>second paycheck</t>
  </si>
  <si>
    <t>Bix Box Store</t>
  </si>
  <si>
    <t>#1</t>
  </si>
  <si>
    <t>Local Bowling Place</t>
  </si>
  <si>
    <t>This should be zero.</t>
  </si>
  <si>
    <t>Remember to document your changes.</t>
  </si>
  <si>
    <t>Crossroads Cafeteria</t>
  </si>
  <si>
    <t>Monthly Expenses</t>
  </si>
  <si>
    <t>Semesterly Expenses</t>
  </si>
  <si>
    <t>Hint</t>
  </si>
  <si>
    <t>Semesterly Income</t>
  </si>
  <si>
    <t>2-Semester Estimated Total</t>
  </si>
  <si>
    <t>Estimated Total</t>
  </si>
  <si>
    <t>Estimated Total Semesterly Expenses:</t>
  </si>
  <si>
    <t>Estimated Total Semesterly Income:</t>
  </si>
  <si>
    <t>Previous Savings Balance</t>
  </si>
  <si>
    <t>New Savings Balance</t>
  </si>
  <si>
    <t>notebooks and pens</t>
  </si>
  <si>
    <t>Entertainment</t>
  </si>
  <si>
    <t>Miscellaneous</t>
  </si>
  <si>
    <t>The Fun Center</t>
  </si>
  <si>
    <t>lazer tag with my roomates</t>
  </si>
  <si>
    <t>Monthly Goal</t>
  </si>
  <si>
    <t>Monthly Income</t>
  </si>
  <si>
    <t>Total Monthly Expenses:</t>
  </si>
  <si>
    <t>Total Monthly Income:</t>
  </si>
  <si>
    <r>
      <rPr>
        <b/>
        <i/>
        <sz val="14"/>
        <rFont val="Geneva"/>
      </rPr>
      <t>Total Cash Flow</t>
    </r>
    <r>
      <rPr>
        <b/>
        <sz val="14"/>
        <rFont val="Geneva"/>
      </rPr>
      <t>:</t>
    </r>
  </si>
  <si>
    <r>
      <t xml:space="preserve">Monthly Goal  </t>
    </r>
    <r>
      <rPr>
        <b/>
        <sz val="18"/>
        <color theme="0" tint="-0.14999847407452621"/>
        <rFont val="Geneva"/>
      </rPr>
      <t>(7 months)</t>
    </r>
  </si>
  <si>
    <t>Savings Withdrawal</t>
  </si>
  <si>
    <r>
      <rPr>
        <b/>
        <i/>
        <sz val="12"/>
        <rFont val="Geneva"/>
      </rPr>
      <t>New Savings Balance - Total of Savings Withdrawals</t>
    </r>
    <r>
      <rPr>
        <b/>
        <sz val="12"/>
        <rFont val="Geneva"/>
      </rPr>
      <t>:</t>
    </r>
  </si>
  <si>
    <t>scholarship and gift tithing</t>
  </si>
  <si>
    <t>Tithing (Special Income)</t>
  </si>
  <si>
    <t>#5</t>
  </si>
  <si>
    <t>Number Correct</t>
  </si>
  <si>
    <r>
      <rPr>
        <b/>
        <sz val="36"/>
        <color theme="0"/>
        <rFont val="Geneva"/>
      </rPr>
      <t xml:space="preserve">50% </t>
    </r>
    <r>
      <rPr>
        <b/>
        <sz val="16"/>
        <color theme="0"/>
        <rFont val="Geneva"/>
      </rPr>
      <t xml:space="preserve">
of your Grade</t>
    </r>
  </si>
  <si>
    <t>Written Comments</t>
  </si>
  <si>
    <t xml:space="preserve">New Monthly Goal </t>
  </si>
  <si>
    <t>New Monthly Goal</t>
  </si>
  <si>
    <t xml:space="preserve">birthday gift for me </t>
  </si>
  <si>
    <t>1st Semester</t>
  </si>
  <si>
    <t>2-Semester Combined Total</t>
  </si>
  <si>
    <t>Combined Total</t>
  </si>
  <si>
    <t xml:space="preserve"> </t>
  </si>
  <si>
    <t>Goal: This must be ZERO</t>
  </si>
  <si>
    <t>Goal: Get this to zero.</t>
  </si>
  <si>
    <t>Juan's Receipt Record</t>
  </si>
  <si>
    <t>Juan's Background Story</t>
  </si>
  <si>
    <t>Type in Juan's Remaining Receipts.</t>
  </si>
  <si>
    <t>Compute Juan's new Savings Balance by removing his Semesterly Expenses and adding his Semesterly Income.</t>
  </si>
  <si>
    <t>Type a detailed description in the text box below of how Juan will need to change his spending habits to meet your new "Monthly Goal" for his budget. 
For example, suppose you lowered Juan's grocery budget. Then you would need to explain what things Juan should buy, how often he should buy them, and how much he should pay for them in order to make your new grocery plan for him work. Provide detailed comments for each change you make.</t>
  </si>
  <si>
    <t>Juan's Final Savings Balance at the end of Two Semesters</t>
  </si>
  <si>
    <t>ice cream (date with Jenny)</t>
  </si>
  <si>
    <t>lunch date with Jenny</t>
  </si>
  <si>
    <t>bowling and pizza (with Jenny and friends)</t>
  </si>
  <si>
    <t>gift for Jenny</t>
  </si>
  <si>
    <t>Step 6.</t>
  </si>
  <si>
    <t>#6</t>
  </si>
  <si>
    <t>This part will be graded after you submit this Case Study to I-Learn.              
                                                            Caution: did you type in your explanations for your new Monthly Goal for Juan as explained in Step #5?
Also, did you type in a reflection paragraph detailing what you have learned from this Budgeting Case Study as explained in Step #6?                     
Make sure you demonstrate the Quantitative Reasoning Process as you give specific insights to Juan on how to live within your new budget goal for him.</t>
  </si>
  <si>
    <t xml:space="preserve">Write a reflection paragraph in the text box #6 (at least 3-5 sentences) that response to each of the following reflection questions.
1. What lessons have you learned in helping Juan gain control of his finances on this "Budgeting Case Study"?
2. How might you apply these lessons that you have learned to your own budget and/or teach others about these principles?
</t>
  </si>
  <si>
    <t>MATH 108X - Budgeting Case Study Excel File</t>
  </si>
  <si>
    <t xml:space="preserve">This is the remaining savings balance after all the withdrawals for the school year.   
</t>
  </si>
  <si>
    <r>
      <rPr>
        <sz val="19"/>
        <color theme="1" tint="0.34998626667073579"/>
        <rFont val="Seravek"/>
      </rPr>
      <t xml:space="preserve">Juan just finished the first month of his first semester of college. He has decided it is time to take the advice he heard in  his class and start his own personal budget!  You will be helping him set a monthly goal that will apply for the 7 remaining months of the school year (there are 8 months in 2 semesters).
What he typed in already...
Juan collected the receipts from all his purchases since the start of the semester. Today he finally sat down to type his receipts into his budget. Your job is to help him finish.
Juan arrived at school on January 3rd and did a lot of spending. As you can see in "Juan's Receipt Record,"  he bought groceries for $150.78, paid his housing contract for the semester at $975, paid his semester's tuition of $2150, and bought his textbooks for $385.42.  He received a $500 scholarship that he will get every semester. He also received a $50 cash birthday gift from his parents. He paid tithing of $55 for the gift and scholarship money he received.
On January 5th, Juan took his friend Jenny out for ice cream, which cost $4.88. He paid a $5.00 Fast Offering at church on January 6th. On the first day of school, January 7th, he forgot his lunch and bought lunch at the Crossroads Cafeteria, which cost $9.75. The next day he got his first paycheck for $67.50, which had his taxes of $15.52 taken out directly. He also put $20 worth of gas in his car and paid his tithing online for his paycheck ($6.75).
The next day, January 9th, he purchased notebooks and pens from the Bookstore for $14.25. Later he returned to buy ear muffs for $4.89. Rexburg was colder than he expected! He also paid for lunch at the Crossroads Cafeteria with Jenny for $19.38. Friday, the 10th, he played lazer tag  for $32. Saturday, the 11th, he bought weekly groceries for $75.32. That night he went to dinner and bowling with Jenny and some friends for $28.50. 
On the 18th he bought groceries again for $148.22. He also bought a gift for Jenny for $58.39 since he was out shopping already. Later he paid his monthly cell phone bill online for $99.98.He was happy to get his second paycheck of the usual $67.50  on the 23rd and recorded the $15.52 in taxes that was removed.
</t>
    </r>
    <r>
      <rPr>
        <b/>
        <u/>
        <sz val="19"/>
        <color theme="1" tint="0.34998626667073579"/>
        <rFont val="Seravek"/>
      </rPr>
      <t>What Juan needs help with...</t>
    </r>
    <r>
      <rPr>
        <sz val="19"/>
        <color theme="1" tint="0.34998626667073579"/>
        <rFont val="Seravek"/>
      </rPr>
      <t xml:space="preserve">
</t>
    </r>
    <r>
      <rPr>
        <b/>
        <sz val="19"/>
        <color theme="1" tint="0.34998626667073579"/>
        <rFont val="Seravek"/>
      </rPr>
      <t xml:space="preserve">Now is where </t>
    </r>
    <r>
      <rPr>
        <b/>
        <sz val="20"/>
        <color theme="9"/>
        <rFont val="Seravek"/>
      </rPr>
      <t>Step #2</t>
    </r>
    <r>
      <rPr>
        <b/>
        <sz val="19"/>
        <color theme="1" tint="0.34998626667073579"/>
        <rFont val="Seravek"/>
      </rPr>
      <t xml:space="preserve"> begins. Help Juan finish typing in his last three receipts for January (shown to the left). He purchased "weekly groceries", put in his "regular fill-up for my car", and paid his tithing, or as he would write in the description: "blessings!"
One final thing needed for </t>
    </r>
    <r>
      <rPr>
        <b/>
        <sz val="20"/>
        <color theme="9"/>
        <rFont val="Seravek"/>
      </rPr>
      <t>Steps #3 and #4</t>
    </r>
    <r>
      <rPr>
        <b/>
        <sz val="19"/>
        <color theme="1" tint="0.34998626667073579"/>
        <rFont val="Seravek"/>
      </rPr>
      <t xml:space="preserve">...
Prior to the start of school, Juan saved up $8,615. He needs your help in coming up with a Monthly Spending Goal to be sure he doesn't run out of money before the end of the first year of school (8 months total). He needs a budget plan!
</t>
    </r>
    <r>
      <rPr>
        <sz val="20"/>
        <color theme="1" tint="0.34998626667073579"/>
        <rFont val="Seravek"/>
      </rPr>
      <t xml:space="preserve">
</t>
    </r>
  </si>
  <si>
    <t>Set a New Monthly Goal for Juan that will balance his budget and keep him from spending more than he has.  Remember he has seven more months of school.</t>
  </si>
  <si>
    <t>Balanced Budget (i.e. cell K40 is computed correctly)</t>
  </si>
  <si>
    <r>
      <rPr>
        <b/>
        <sz val="36"/>
        <color theme="0"/>
        <rFont val="Geneva"/>
      </rPr>
      <t xml:space="preserve">20% </t>
    </r>
    <r>
      <rPr>
        <b/>
        <sz val="16"/>
        <color theme="0"/>
        <rFont val="Geneva"/>
      </rPr>
      <t xml:space="preserve">
of your Grade</t>
    </r>
  </si>
  <si>
    <r>
      <rPr>
        <b/>
        <sz val="36"/>
        <color theme="0"/>
        <rFont val="Geneva"/>
      </rPr>
      <t xml:space="preserve">30% </t>
    </r>
    <r>
      <rPr>
        <b/>
        <sz val="16"/>
        <color theme="0"/>
        <rFont val="Geneva"/>
      </rPr>
      <t xml:space="preserve">
of your Grade</t>
    </r>
  </si>
  <si>
    <t>Out of 43  Possible</t>
  </si>
  <si>
    <t>Spring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</si>
</sst>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_-* #,##0.00_-;\-* #,##0.00_-;_-* &quot;-&quot;??_-;_-@_-"/>
    <numFmt numFmtId="166" formatCode="m/d/yy;@"/>
    <numFmt numFmtId="167" formatCode="m/d;@"/>
  </numFmts>
  <fonts count="87">
    <font>
      <sz val="10"/>
      <name val="Verdana"/>
    </font>
    <font>
      <sz val="10"/>
      <name val="Verdana"/>
      <family val="2"/>
    </font>
    <font>
      <u/>
      <sz val="12.5"/>
      <color indexed="12"/>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b/>
      <sz val="16"/>
      <name val="Geneva"/>
    </font>
    <font>
      <sz val="16"/>
      <name val="Geneva"/>
    </font>
    <font>
      <b/>
      <sz val="16"/>
      <color indexed="9"/>
      <name val="Geneva"/>
    </font>
    <font>
      <sz val="10"/>
      <name val="Arial"/>
      <family val="2"/>
    </font>
    <font>
      <sz val="12"/>
      <color indexed="8"/>
      <name val="Cambria"/>
      <family val="1"/>
    </font>
    <font>
      <sz val="12"/>
      <name val="Cambria"/>
      <family val="1"/>
    </font>
    <font>
      <b/>
      <sz val="10"/>
      <color indexed="9"/>
      <name val="Geneva"/>
    </font>
    <font>
      <sz val="10"/>
      <name val="Geneva"/>
    </font>
    <font>
      <u/>
      <sz val="10"/>
      <color indexed="12"/>
      <name val="Verdana"/>
      <family val="2"/>
    </font>
    <font>
      <u/>
      <sz val="10"/>
      <color indexed="20"/>
      <name val="Verdana"/>
      <family val="2"/>
    </font>
    <font>
      <b/>
      <sz val="9"/>
      <color indexed="81"/>
      <name val="Tahoma"/>
      <family val="2"/>
    </font>
    <font>
      <b/>
      <sz val="16"/>
      <color indexed="81"/>
      <name val="Tahoma"/>
      <family val="2"/>
    </font>
    <font>
      <sz val="16"/>
      <color theme="0"/>
      <name val="Geneva"/>
    </font>
    <font>
      <b/>
      <sz val="16"/>
      <color theme="0"/>
      <name val="Geneva"/>
    </font>
    <font>
      <b/>
      <i/>
      <sz val="16"/>
      <name val="Geneva"/>
    </font>
    <font>
      <b/>
      <sz val="16"/>
      <color indexed="81"/>
      <name val="S"/>
    </font>
    <font>
      <b/>
      <sz val="24"/>
      <color indexed="9"/>
      <name val="Geneva"/>
    </font>
    <font>
      <b/>
      <sz val="24"/>
      <color theme="0"/>
      <name val="Geneva"/>
    </font>
    <font>
      <sz val="24"/>
      <color theme="0"/>
      <name val="Geneva"/>
    </font>
    <font>
      <sz val="12"/>
      <color theme="0"/>
      <name val="Geneva"/>
    </font>
    <font>
      <b/>
      <sz val="20"/>
      <color rgb="FF009CD0"/>
      <name val="Geneva"/>
    </font>
    <font>
      <b/>
      <sz val="20"/>
      <color theme="0" tint="-0.499984740745262"/>
      <name val="Geneva"/>
    </font>
    <font>
      <b/>
      <sz val="20"/>
      <color indexed="9"/>
      <name val="Geneva"/>
    </font>
    <font>
      <b/>
      <sz val="18"/>
      <color indexed="81"/>
      <name val="Seravek"/>
    </font>
    <font>
      <sz val="18"/>
      <color indexed="81"/>
      <name val="Seravek"/>
    </font>
    <font>
      <sz val="18"/>
      <color indexed="81"/>
      <name val="Calibri"/>
      <family val="2"/>
    </font>
    <font>
      <b/>
      <sz val="16"/>
      <color indexed="81"/>
      <name val="Seravek"/>
    </font>
    <font>
      <sz val="16"/>
      <color indexed="81"/>
      <name val="Seravek"/>
    </font>
    <font>
      <sz val="16"/>
      <color theme="1"/>
      <name val="Geneva"/>
    </font>
    <font>
      <b/>
      <sz val="16"/>
      <color theme="1"/>
      <name val="Geneva"/>
    </font>
    <font>
      <sz val="12"/>
      <color theme="0" tint="-0.499984740745262"/>
      <name val="Geneva"/>
    </font>
    <font>
      <b/>
      <sz val="16"/>
      <color indexed="81"/>
      <name val="Calibri"/>
      <family val="2"/>
    </font>
    <font>
      <sz val="16"/>
      <color theme="9" tint="-0.249977111117893"/>
      <name val="Geneva"/>
    </font>
    <font>
      <sz val="11"/>
      <name val="Cambria"/>
      <family val="1"/>
    </font>
    <font>
      <sz val="12"/>
      <color rgb="FF009CD0"/>
      <name val="Cambria"/>
      <family val="1"/>
    </font>
    <font>
      <sz val="11"/>
      <color rgb="FF009CD0"/>
      <name val="Cambria"/>
      <family val="1"/>
    </font>
    <font>
      <b/>
      <sz val="14"/>
      <color rgb="FF009CD0"/>
      <name val="Verdana"/>
      <family val="2"/>
    </font>
    <font>
      <sz val="12"/>
      <color rgb="FF9C6500"/>
      <name val="Calibri"/>
      <family val="2"/>
      <scheme val="minor"/>
    </font>
    <font>
      <u/>
      <sz val="36"/>
      <color rgb="FF009CD0"/>
      <name val="Seravek"/>
    </font>
    <font>
      <sz val="12"/>
      <color rgb="FF7B8A49"/>
      <name val="Geneva"/>
    </font>
    <font>
      <sz val="14"/>
      <color rgb="FF7B8A49"/>
      <name val="Geneva"/>
    </font>
    <font>
      <b/>
      <sz val="14"/>
      <name val="Geneva"/>
    </font>
    <font>
      <b/>
      <sz val="16"/>
      <color rgb="FF009CD0"/>
      <name val="Geneva"/>
    </font>
    <font>
      <b/>
      <i/>
      <sz val="14"/>
      <name val="Geneva"/>
    </font>
    <font>
      <b/>
      <sz val="16"/>
      <color theme="0" tint="-0.14999847407452621"/>
      <name val="Geneva"/>
    </font>
    <font>
      <b/>
      <sz val="24"/>
      <color theme="0" tint="-0.14999847407452621"/>
      <name val="Geneva"/>
    </font>
    <font>
      <b/>
      <sz val="22"/>
      <color theme="0" tint="-0.14999847407452621"/>
      <name val="Geneva"/>
    </font>
    <font>
      <sz val="16"/>
      <color theme="0" tint="-0.14999847407452621"/>
      <name val="Geneva"/>
    </font>
    <font>
      <b/>
      <sz val="18"/>
      <color theme="0" tint="-0.14999847407452621"/>
      <name val="Geneva"/>
    </font>
    <font>
      <b/>
      <sz val="12"/>
      <name val="Geneva"/>
    </font>
    <font>
      <b/>
      <i/>
      <sz val="12"/>
      <name val="Geneva"/>
    </font>
    <font>
      <sz val="20"/>
      <color rgb="FF9C6500"/>
      <name val="Calibri"/>
      <family val="2"/>
      <scheme val="minor"/>
    </font>
    <font>
      <sz val="12"/>
      <color rgb="FF006100"/>
      <name val="Calibri"/>
      <family val="2"/>
      <scheme val="minor"/>
    </font>
    <font>
      <sz val="20"/>
      <color theme="1" tint="0.34998626667073579"/>
      <name val="Seravek"/>
    </font>
    <font>
      <sz val="24"/>
      <color indexed="8"/>
      <name val="Geneva"/>
    </font>
    <font>
      <sz val="20"/>
      <color rgb="FF006100"/>
      <name val="Calibri"/>
      <family val="2"/>
      <scheme val="minor"/>
    </font>
    <font>
      <sz val="48"/>
      <color rgb="FF006100"/>
      <name val="Calibri"/>
      <family val="2"/>
      <scheme val="minor"/>
    </font>
    <font>
      <sz val="12"/>
      <color theme="0" tint="-0.249977111117893"/>
      <name val="Geneva"/>
    </font>
    <font>
      <sz val="14"/>
      <color indexed="81"/>
      <name val="Calibri"/>
    </font>
    <font>
      <u/>
      <sz val="10"/>
      <color theme="10"/>
      <name val="Verdana"/>
    </font>
    <font>
      <u/>
      <sz val="10"/>
      <color theme="11"/>
      <name val="Verdana"/>
    </font>
    <font>
      <b/>
      <sz val="18"/>
      <name val="Geneva"/>
    </font>
    <font>
      <b/>
      <sz val="14"/>
      <color indexed="9"/>
      <name val="Geneva"/>
    </font>
    <font>
      <sz val="28"/>
      <color rgb="FF006100"/>
      <name val="Calibri"/>
      <family val="2"/>
      <scheme val="minor"/>
    </font>
    <font>
      <sz val="24"/>
      <color rgb="FF006100"/>
      <name val="Geneva"/>
    </font>
    <font>
      <sz val="18"/>
      <color rgb="FF006100"/>
      <name val="Calibri"/>
      <family val="2"/>
      <scheme val="minor"/>
    </font>
    <font>
      <b/>
      <sz val="36"/>
      <color theme="0"/>
      <name val="Geneva"/>
    </font>
    <font>
      <b/>
      <sz val="6"/>
      <color indexed="9"/>
      <name val="Geneva"/>
    </font>
    <font>
      <sz val="12"/>
      <color theme="0" tint="-0.499984740745262"/>
      <name val="Cambria"/>
      <family val="1"/>
    </font>
    <font>
      <b/>
      <u/>
      <sz val="18"/>
      <color indexed="81"/>
      <name val="Seravek"/>
    </font>
    <font>
      <u/>
      <sz val="18"/>
      <color indexed="81"/>
      <name val="Seravek"/>
    </font>
    <font>
      <b/>
      <sz val="10"/>
      <color rgb="FFFF0000"/>
      <name val="Verdana"/>
      <family val="2"/>
    </font>
    <font>
      <b/>
      <i/>
      <u/>
      <sz val="18"/>
      <color indexed="81"/>
      <name val="Seravek"/>
    </font>
    <font>
      <sz val="14"/>
      <name val="Geneva"/>
    </font>
    <font>
      <sz val="19"/>
      <color theme="1" tint="0.34998626667073579"/>
      <name val="Seravek"/>
    </font>
    <font>
      <b/>
      <sz val="19"/>
      <color theme="1" tint="0.34998626667073579"/>
      <name val="Seravek"/>
    </font>
    <font>
      <b/>
      <u/>
      <sz val="19"/>
      <color theme="1" tint="0.34998626667073579"/>
      <name val="Seravek"/>
    </font>
    <font>
      <b/>
      <sz val="20"/>
      <color theme="9"/>
      <name val="Seravek"/>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6"/>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EB9C"/>
      </patternFill>
    </fill>
    <fill>
      <patternFill patternType="solid">
        <fgColor theme="1"/>
        <bgColor indexed="64"/>
      </patternFill>
    </fill>
    <fill>
      <patternFill patternType="solid">
        <fgColor rgb="FFC6EFCE"/>
      </patternFill>
    </fill>
    <fill>
      <patternFill patternType="solid">
        <fgColor theme="6" tint="-0.249977111117893"/>
        <bgColor indexed="64"/>
      </patternFill>
    </fill>
    <fill>
      <patternFill patternType="solid">
        <fgColor rgb="FFC4D79B"/>
        <bgColor rgb="FF000000"/>
      </patternFill>
    </fill>
  </fills>
  <borders count="89">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style="medium">
        <color rgb="FF009CD0"/>
      </right>
      <top/>
      <bottom/>
      <diagonal/>
    </border>
    <border>
      <left style="medium">
        <color rgb="FF009CD0"/>
      </left>
      <right style="thin">
        <color rgb="FF009CD0"/>
      </right>
      <top style="medium">
        <color rgb="FF009CD0"/>
      </top>
      <bottom style="thin">
        <color rgb="FF009CD0"/>
      </bottom>
      <diagonal/>
    </border>
    <border>
      <left style="thin">
        <color rgb="FF009CD0"/>
      </left>
      <right style="medium">
        <color rgb="FF009CD0"/>
      </right>
      <top style="medium">
        <color rgb="FF009CD0"/>
      </top>
      <bottom style="thin">
        <color rgb="FF009CD0"/>
      </bottom>
      <diagonal/>
    </border>
    <border>
      <left style="medium">
        <color rgb="FF009CD0"/>
      </left>
      <right style="thin">
        <color rgb="FF009CD0"/>
      </right>
      <top style="thin">
        <color rgb="FF009CD0"/>
      </top>
      <bottom style="thin">
        <color rgb="FF009CD0"/>
      </bottom>
      <diagonal/>
    </border>
    <border>
      <left style="thin">
        <color rgb="FF009CD0"/>
      </left>
      <right style="medium">
        <color rgb="FF009CD0"/>
      </right>
      <top style="thin">
        <color rgb="FF009CD0"/>
      </top>
      <bottom style="thin">
        <color rgb="FF009CD0"/>
      </bottom>
      <diagonal/>
    </border>
    <border>
      <left style="medium">
        <color rgb="FF009CD0"/>
      </left>
      <right style="thin">
        <color rgb="FF009CD0"/>
      </right>
      <top style="thin">
        <color rgb="FF009CD0"/>
      </top>
      <bottom style="medium">
        <color rgb="FF009CD0"/>
      </bottom>
      <diagonal/>
    </border>
    <border>
      <left style="thin">
        <color rgb="FF009CD0"/>
      </left>
      <right style="medium">
        <color rgb="FF009CD0"/>
      </right>
      <top style="thin">
        <color rgb="FF009CD0"/>
      </top>
      <bottom style="medium">
        <color rgb="FF009CD0"/>
      </bottom>
      <diagonal/>
    </border>
    <border>
      <left style="thin">
        <color rgb="FF009CD0"/>
      </left>
      <right style="thin">
        <color rgb="FF009CD0"/>
      </right>
      <top style="medium">
        <color rgb="FF009CD0"/>
      </top>
      <bottom style="thin">
        <color rgb="FF009CD0"/>
      </bottom>
      <diagonal/>
    </border>
    <border>
      <left style="thin">
        <color rgb="FF009CD0"/>
      </left>
      <right style="thin">
        <color rgb="FF009CD0"/>
      </right>
      <top style="thin">
        <color rgb="FF009CD0"/>
      </top>
      <bottom style="medium">
        <color rgb="FF009CD0"/>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top style="medium">
        <color auto="1"/>
      </top>
      <bottom style="medium">
        <color auto="1"/>
      </bottom>
      <diagonal/>
    </border>
    <border>
      <left/>
      <right style="hair">
        <color auto="1"/>
      </right>
      <top style="medium">
        <color auto="1"/>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hair">
        <color auto="1"/>
      </left>
      <right/>
      <top style="medium">
        <color rgb="FF009CD0"/>
      </top>
      <bottom style="medium">
        <color auto="1"/>
      </bottom>
      <diagonal/>
    </border>
    <border>
      <left/>
      <right/>
      <top style="medium">
        <color auto="1"/>
      </top>
      <bottom/>
      <diagonal/>
    </border>
    <border>
      <left/>
      <right style="hair">
        <color auto="1"/>
      </right>
      <top style="medium">
        <color auto="1"/>
      </top>
      <bottom style="thin">
        <color auto="1"/>
      </bottom>
      <diagonal/>
    </border>
    <border>
      <left style="hair">
        <color auto="1"/>
      </left>
      <right/>
      <top style="medium">
        <color rgb="FF009CD0"/>
      </top>
      <bottom style="thin">
        <color auto="1"/>
      </bottom>
      <diagonal/>
    </border>
    <border>
      <left/>
      <right style="hair">
        <color auto="1"/>
      </right>
      <top/>
      <bottom style="thin">
        <color auto="1"/>
      </bottom>
      <diagonal/>
    </border>
    <border>
      <left style="hair">
        <color auto="1"/>
      </left>
      <right/>
      <top/>
      <bottom style="thin">
        <color auto="1"/>
      </bottom>
      <diagonal/>
    </border>
    <border>
      <left/>
      <right style="thin">
        <color theme="0"/>
      </right>
      <top/>
      <bottom/>
      <diagonal/>
    </border>
    <border>
      <left style="thin">
        <color theme="0"/>
      </left>
      <right/>
      <top/>
      <bottom/>
      <diagonal/>
    </border>
    <border>
      <left style="thin">
        <color auto="1"/>
      </left>
      <right style="thin">
        <color theme="0"/>
      </right>
      <top style="thin">
        <color auto="1"/>
      </top>
      <bottom style="thin">
        <color theme="0"/>
      </bottom>
      <diagonal/>
    </border>
    <border>
      <left style="thin">
        <color theme="0"/>
      </left>
      <right style="thin">
        <color theme="0"/>
      </right>
      <top/>
      <bottom style="thin">
        <color theme="0"/>
      </bottom>
      <diagonal/>
    </border>
    <border>
      <left style="thin">
        <color theme="0"/>
      </left>
      <right style="medium">
        <color rgb="FF009CD0"/>
      </right>
      <top style="medium">
        <color rgb="FF009CD0"/>
      </top>
      <bottom style="thin">
        <color theme="0"/>
      </bottom>
      <diagonal/>
    </border>
    <border>
      <left style="thin">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medium">
        <color rgb="FF009CD0"/>
      </right>
      <top style="thin">
        <color theme="0"/>
      </top>
      <bottom style="medium">
        <color auto="1"/>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style="thin">
        <color rgb="FF7B8A49"/>
      </bottom>
      <diagonal/>
    </border>
    <border>
      <left style="thin">
        <color rgb="FF009CD0"/>
      </left>
      <right style="medium">
        <color rgb="FF009CD0"/>
      </right>
      <top style="thin">
        <color rgb="FF009CD0"/>
      </top>
      <bottom/>
      <diagonal/>
    </border>
    <border>
      <left style="thin">
        <color theme="0"/>
      </left>
      <right style="thin">
        <color theme="0"/>
      </right>
      <top/>
      <bottom/>
      <diagonal/>
    </border>
    <border>
      <left/>
      <right/>
      <top style="medium">
        <color rgb="FF009CD0"/>
      </top>
      <bottom/>
      <diagonal/>
    </border>
    <border>
      <left style="hair">
        <color auto="1"/>
      </left>
      <right/>
      <top/>
      <bottom style="medium">
        <color auto="1"/>
      </bottom>
      <diagonal/>
    </border>
    <border>
      <left style="thick">
        <color rgb="FF009CD0"/>
      </left>
      <right style="thick">
        <color rgb="FF009CD0"/>
      </right>
      <top style="thin">
        <color rgb="FF009CD0"/>
      </top>
      <bottom style="thin">
        <color rgb="FF009CD0"/>
      </bottom>
      <diagonal/>
    </border>
    <border>
      <left style="thick">
        <color rgb="FF009CD0"/>
      </left>
      <right style="thick">
        <color rgb="FF009CD0"/>
      </right>
      <top style="thin">
        <color rgb="FF009CD0"/>
      </top>
      <bottom style="medium">
        <color rgb="FF009CD0"/>
      </bottom>
      <diagonal/>
    </border>
    <border>
      <left style="thick">
        <color rgb="FF009CD0"/>
      </left>
      <right style="thick">
        <color rgb="FF009CD0"/>
      </right>
      <top/>
      <bottom style="thin">
        <color rgb="FF009CD0"/>
      </bottom>
      <diagonal/>
    </border>
    <border>
      <left/>
      <right style="hair">
        <color auto="1"/>
      </right>
      <top style="medium">
        <color auto="1"/>
      </top>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ck">
        <color rgb="FF009CD0"/>
      </left>
      <right style="thick">
        <color rgb="FF009CD0"/>
      </right>
      <top/>
      <bottom/>
      <diagonal/>
    </border>
    <border>
      <left style="thick">
        <color rgb="FF009CD0"/>
      </left>
      <right style="thick">
        <color rgb="FF009CD0"/>
      </right>
      <top/>
      <bottom style="medium">
        <color auto="1"/>
      </bottom>
      <diagonal/>
    </border>
    <border>
      <left/>
      <right style="thin">
        <color theme="0"/>
      </right>
      <top style="thin">
        <color auto="1"/>
      </top>
      <bottom/>
      <diagonal/>
    </border>
    <border>
      <left style="thick">
        <color theme="0"/>
      </left>
      <right/>
      <top style="thick">
        <color auto="1"/>
      </top>
      <bottom style="thin">
        <color auto="1"/>
      </bottom>
      <diagonal/>
    </border>
    <border>
      <left style="thin">
        <color auto="1"/>
      </left>
      <right style="thick">
        <color rgb="FF009CD0"/>
      </right>
      <top style="thin">
        <color auto="1"/>
      </top>
      <bottom style="medium">
        <color auto="1"/>
      </bottom>
      <diagonal/>
    </border>
    <border>
      <left style="thick">
        <color rgb="FF009CD0"/>
      </left>
      <right style="thin">
        <color rgb="FF009CD0"/>
      </right>
      <top style="thick">
        <color rgb="FF009CD0"/>
      </top>
      <bottom style="medium">
        <color auto="1"/>
      </bottom>
      <diagonal/>
    </border>
    <border>
      <left style="thin">
        <color rgb="FF009CD0"/>
      </left>
      <right style="thick">
        <color rgb="FF009CD0"/>
      </right>
      <top style="thin">
        <color rgb="FF009CD0"/>
      </top>
      <bottom style="medium">
        <color rgb="FF009CD0"/>
      </bottom>
      <diagonal/>
    </border>
    <border>
      <left style="thin">
        <color auto="1"/>
      </left>
      <right style="thick">
        <color theme="0" tint="-0.499984740745262"/>
      </right>
      <top style="thick">
        <color auto="1"/>
      </top>
      <bottom style="thin">
        <color auto="1"/>
      </bottom>
      <diagonal/>
    </border>
    <border>
      <left style="thick">
        <color theme="0" tint="-0.499984740745262"/>
      </left>
      <right style="thick">
        <color theme="0" tint="-0.499984740745262"/>
      </right>
      <top style="thick">
        <color auto="1"/>
      </top>
      <bottom style="thin">
        <color auto="1"/>
      </bottom>
      <diagonal/>
    </border>
    <border>
      <left style="thick">
        <color rgb="FF009CD0"/>
      </left>
      <right style="thin">
        <color rgb="FF009CD0"/>
      </right>
      <top style="thick">
        <color rgb="FF009CD0"/>
      </top>
      <bottom style="thin">
        <color rgb="FF009CD0"/>
      </bottom>
      <diagonal/>
    </border>
    <border>
      <left style="thin">
        <color rgb="FF009CD0"/>
      </left>
      <right style="thin">
        <color rgb="FF009CD0"/>
      </right>
      <top style="thick">
        <color rgb="FF009CD0"/>
      </top>
      <bottom style="thin">
        <color rgb="FF009CD0"/>
      </bottom>
      <diagonal/>
    </border>
    <border>
      <left style="thin">
        <color rgb="FF009CD0"/>
      </left>
      <right style="thick">
        <color rgb="FF009CD0"/>
      </right>
      <top style="thick">
        <color rgb="FF009CD0"/>
      </top>
      <bottom style="thin">
        <color rgb="FF009CD0"/>
      </bottom>
      <diagonal/>
    </border>
    <border>
      <left style="thick">
        <color rgb="FF009CD0"/>
      </left>
      <right style="thin">
        <color rgb="FF009CD0"/>
      </right>
      <top style="thin">
        <color rgb="FF009CD0"/>
      </top>
      <bottom style="thin">
        <color rgb="FF009CD0"/>
      </bottom>
      <diagonal/>
    </border>
    <border>
      <left style="thin">
        <color rgb="FF009CD0"/>
      </left>
      <right style="thick">
        <color rgb="FF009CD0"/>
      </right>
      <top style="thin">
        <color rgb="FF009CD0"/>
      </top>
      <bottom style="thin">
        <color rgb="FF009CD0"/>
      </bottom>
      <diagonal/>
    </border>
    <border>
      <left style="thick">
        <color rgb="FF009CD0"/>
      </left>
      <right style="thin">
        <color rgb="FF009CD0"/>
      </right>
      <top style="thin">
        <color rgb="FF009CD0"/>
      </top>
      <bottom style="thick">
        <color rgb="FF009CD0"/>
      </bottom>
      <diagonal/>
    </border>
    <border>
      <left style="thin">
        <color rgb="FF009CD0"/>
      </left>
      <right style="thin">
        <color rgb="FF009CD0"/>
      </right>
      <top style="thin">
        <color rgb="FF009CD0"/>
      </top>
      <bottom style="thick">
        <color rgb="FF009CD0"/>
      </bottom>
      <diagonal/>
    </border>
    <border>
      <left style="thin">
        <color rgb="FF009CD0"/>
      </left>
      <right style="thick">
        <color rgb="FF009CD0"/>
      </right>
      <top style="thin">
        <color rgb="FF009CD0"/>
      </top>
      <bottom style="thick">
        <color rgb="FF009CD0"/>
      </bottom>
      <diagonal/>
    </border>
    <border>
      <left style="thick">
        <color theme="0" tint="-0.499984740745262"/>
      </left>
      <right/>
      <top style="thick">
        <color auto="1"/>
      </top>
      <bottom style="thin">
        <color auto="1"/>
      </bottom>
      <diagonal/>
    </border>
    <border>
      <left style="thin">
        <color auto="1"/>
      </left>
      <right style="thick">
        <color rgb="FF009CD0"/>
      </right>
      <top style="thin">
        <color auto="1"/>
      </top>
      <bottom/>
      <diagonal/>
    </border>
    <border>
      <left/>
      <right/>
      <top style="thin">
        <color rgb="FF7B8A49"/>
      </top>
      <bottom/>
      <diagonal/>
    </border>
    <border>
      <left style="thin">
        <color auto="1"/>
      </left>
      <right style="thin">
        <color auto="1"/>
      </right>
      <top/>
      <bottom style="medium">
        <color auto="1"/>
      </bottom>
      <diagonal/>
    </border>
    <border>
      <left style="thick">
        <color rgb="FF009CD0"/>
      </left>
      <right/>
      <top/>
      <bottom/>
      <diagonal/>
    </border>
    <border>
      <left style="thin">
        <color rgb="FF009CD0"/>
      </left>
      <right/>
      <top style="thin">
        <color auto="1"/>
      </top>
      <bottom/>
      <diagonal/>
    </border>
    <border>
      <left style="thin">
        <color rgb="FF009CD0"/>
      </left>
      <right/>
      <top/>
      <bottom/>
      <diagonal/>
    </border>
    <border>
      <left style="thin">
        <color rgb="FF009CD0"/>
      </left>
      <right/>
      <top/>
      <bottom style="thin">
        <color rgb="FF009CD0"/>
      </bottom>
      <diagonal/>
    </border>
    <border>
      <left style="thin">
        <color rgb="FF7B8A49"/>
      </left>
      <right style="thin">
        <color rgb="FF7B8A49"/>
      </right>
      <top/>
      <bottom/>
      <diagonal/>
    </border>
  </borders>
  <cellStyleXfs count="12">
    <xf numFmtId="0" fontId="0" fillId="0" borderId="0"/>
    <xf numFmtId="0" fontId="12" fillId="0" borderId="0"/>
    <xf numFmtId="0" fontId="1" fillId="0" borderId="0"/>
    <xf numFmtId="0" fontId="17" fillId="0" borderId="0" applyNumberForma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0" fontId="46" fillId="12" borderId="0" applyNumberFormat="0" applyBorder="0" applyAlignment="0" applyProtection="0"/>
    <xf numFmtId="0" fontId="61" fillId="14" borderId="0" applyNumberFormat="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9" fontId="1" fillId="0" borderId="0" applyFont="0" applyFill="0" applyBorder="0" applyAlignment="0" applyProtection="0"/>
  </cellStyleXfs>
  <cellXfs count="410">
    <xf numFmtId="0" fontId="0" fillId="0" borderId="0" xfId="0"/>
    <xf numFmtId="0" fontId="6" fillId="2" borderId="0" xfId="0" applyFont="1" applyFill="1" applyProtection="1">
      <protection locked="0"/>
    </xf>
    <xf numFmtId="0" fontId="4" fillId="2" borderId="0" xfId="0" applyFont="1" applyFill="1" applyProtection="1">
      <protection locked="0"/>
    </xf>
    <xf numFmtId="0" fontId="4" fillId="0" borderId="0" xfId="0" applyFont="1" applyProtection="1">
      <protection locked="0"/>
    </xf>
    <xf numFmtId="0" fontId="5" fillId="0" borderId="0" xfId="0" applyFont="1" applyProtection="1">
      <protection locked="0"/>
    </xf>
    <xf numFmtId="0" fontId="10" fillId="2" borderId="0" xfId="0" applyFont="1" applyFill="1" applyProtection="1">
      <protection locked="0"/>
    </xf>
    <xf numFmtId="0" fontId="5" fillId="2" borderId="0" xfId="0" applyFont="1" applyFill="1" applyProtection="1">
      <protection locked="0"/>
    </xf>
    <xf numFmtId="0" fontId="0" fillId="2" borderId="0" xfId="0" applyFill="1" applyAlignment="1" applyProtection="1">
      <alignment horizontal="left" vertical="top"/>
      <protection locked="0"/>
    </xf>
    <xf numFmtId="0" fontId="4" fillId="2" borderId="0" xfId="0" applyFont="1" applyFill="1" applyAlignment="1" applyProtection="1">
      <alignment horizontal="center"/>
      <protection locked="0"/>
    </xf>
    <xf numFmtId="0" fontId="4" fillId="3" borderId="0" xfId="0" applyFont="1" applyFill="1" applyProtection="1">
      <protection locked="0"/>
    </xf>
    <xf numFmtId="0" fontId="14" fillId="0" borderId="10" xfId="0" applyFont="1" applyBorder="1" applyAlignment="1" applyProtection="1">
      <alignment horizontal="center"/>
      <protection locked="0"/>
    </xf>
    <xf numFmtId="0" fontId="13" fillId="0" borderId="0" xfId="0" applyFont="1" applyAlignment="1" applyProtection="1">
      <alignment horizontal="center"/>
      <protection locked="0"/>
    </xf>
    <xf numFmtId="0" fontId="14" fillId="0" borderId="0" xfId="0" applyFont="1" applyAlignment="1" applyProtection="1">
      <alignment horizontal="center"/>
      <protection locked="0"/>
    </xf>
    <xf numFmtId="40" fontId="14" fillId="0" borderId="0" xfId="0" applyNumberFormat="1" applyFont="1" applyAlignment="1" applyProtection="1">
      <alignment horizontal="center"/>
      <protection locked="0"/>
    </xf>
    <xf numFmtId="0" fontId="5" fillId="3" borderId="0" xfId="0" applyFont="1" applyFill="1" applyProtection="1">
      <protection locked="0"/>
    </xf>
    <xf numFmtId="0" fontId="10" fillId="3" borderId="0" xfId="0" applyFont="1" applyFill="1" applyAlignment="1" applyProtection="1">
      <alignment horizontal="left"/>
      <protection locked="0"/>
    </xf>
    <xf numFmtId="0" fontId="6" fillId="3" borderId="0" xfId="0" applyFont="1" applyFill="1" applyProtection="1">
      <protection locked="0"/>
    </xf>
    <xf numFmtId="0" fontId="4" fillId="0" borderId="0" xfId="0" applyFont="1" applyAlignment="1" applyProtection="1">
      <alignment horizontal="center"/>
      <protection locked="0"/>
    </xf>
    <xf numFmtId="0" fontId="13" fillId="0" borderId="11"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13" fillId="0" borderId="10" xfId="0" applyFont="1" applyBorder="1" applyAlignment="1" applyProtection="1">
      <alignment horizontal="center"/>
      <protection locked="0"/>
    </xf>
    <xf numFmtId="166" fontId="14" fillId="0" borderId="2" xfId="0" applyNumberFormat="1" applyFont="1" applyBorder="1" applyAlignment="1" applyProtection="1">
      <alignment horizontal="center"/>
      <protection locked="0"/>
    </xf>
    <xf numFmtId="166" fontId="14" fillId="0" borderId="4" xfId="0" applyNumberFormat="1" applyFont="1" applyBorder="1" applyAlignment="1" applyProtection="1">
      <alignment horizontal="center"/>
      <protection locked="0"/>
    </xf>
    <xf numFmtId="166" fontId="13" fillId="0" borderId="4" xfId="0" applyNumberFormat="1" applyFont="1" applyBorder="1" applyAlignment="1" applyProtection="1">
      <alignment horizontal="center"/>
      <protection locked="0"/>
    </xf>
    <xf numFmtId="14" fontId="13" fillId="0" borderId="4" xfId="0" applyNumberFormat="1" applyFont="1" applyBorder="1" applyAlignment="1" applyProtection="1">
      <alignment horizontal="center"/>
      <protection locked="0"/>
    </xf>
    <xf numFmtId="14" fontId="14" fillId="0" borderId="4" xfId="0" applyNumberFormat="1" applyFont="1" applyBorder="1" applyAlignment="1" applyProtection="1">
      <alignment horizontal="center"/>
      <protection locked="0"/>
    </xf>
    <xf numFmtId="14" fontId="4" fillId="0" borderId="4" xfId="0" applyNumberFormat="1" applyFont="1" applyBorder="1" applyAlignment="1" applyProtection="1">
      <alignment horizontal="center"/>
      <protection locked="0"/>
    </xf>
    <xf numFmtId="14" fontId="4" fillId="0" borderId="9" xfId="0" applyNumberFormat="1" applyFont="1" applyBorder="1" applyAlignment="1" applyProtection="1">
      <alignment horizontal="center"/>
      <protection locked="0"/>
    </xf>
    <xf numFmtId="167" fontId="10" fillId="3" borderId="0" xfId="0" applyNumberFormat="1" applyFont="1" applyFill="1" applyAlignment="1" applyProtection="1">
      <alignment horizontal="left"/>
      <protection locked="0"/>
    </xf>
    <xf numFmtId="167" fontId="14" fillId="0" borderId="1" xfId="0" applyNumberFormat="1" applyFont="1" applyBorder="1" applyAlignment="1" applyProtection="1">
      <alignment horizontal="center"/>
      <protection locked="0"/>
    </xf>
    <xf numFmtId="167" fontId="14" fillId="0" borderId="3" xfId="0" applyNumberFormat="1" applyFont="1" applyBorder="1" applyAlignment="1" applyProtection="1">
      <alignment horizontal="center"/>
      <protection locked="0"/>
    </xf>
    <xf numFmtId="167" fontId="13" fillId="0" borderId="3" xfId="0" applyNumberFormat="1" applyFont="1" applyBorder="1" applyAlignment="1" applyProtection="1">
      <alignment horizontal="center"/>
      <protection locked="0"/>
    </xf>
    <xf numFmtId="167" fontId="4" fillId="0" borderId="3" xfId="0" applyNumberFormat="1" applyFont="1" applyBorder="1" applyAlignment="1" applyProtection="1">
      <alignment horizontal="center"/>
      <protection locked="0"/>
    </xf>
    <xf numFmtId="167" fontId="4" fillId="0" borderId="5" xfId="0" applyNumberFormat="1" applyFont="1" applyBorder="1" applyAlignment="1" applyProtection="1">
      <alignment horizontal="center"/>
      <protection locked="0"/>
    </xf>
    <xf numFmtId="167" fontId="4" fillId="2" borderId="0" xfId="0" applyNumberFormat="1" applyFont="1" applyFill="1" applyAlignment="1" applyProtection="1">
      <alignment horizontal="center"/>
      <protection locked="0"/>
    </xf>
    <xf numFmtId="164" fontId="10" fillId="3" borderId="0" xfId="5" applyFont="1" applyFill="1" applyBorder="1" applyAlignment="1" applyProtection="1">
      <alignment horizontal="left"/>
      <protection locked="0"/>
    </xf>
    <xf numFmtId="164" fontId="14" fillId="0" borderId="10" xfId="5" applyFont="1" applyFill="1" applyBorder="1" applyAlignment="1" applyProtection="1">
      <alignment horizontal="center"/>
      <protection locked="0"/>
    </xf>
    <xf numFmtId="164" fontId="13" fillId="0" borderId="0" xfId="5" applyFont="1" applyFill="1" applyBorder="1" applyAlignment="1" applyProtection="1">
      <alignment horizontal="center"/>
      <protection locked="0"/>
    </xf>
    <xf numFmtId="164" fontId="14" fillId="0" borderId="0" xfId="5" applyFont="1" applyFill="1" applyBorder="1" applyAlignment="1" applyProtection="1">
      <alignment horizontal="center"/>
      <protection locked="0"/>
    </xf>
    <xf numFmtId="164" fontId="4" fillId="0" borderId="0" xfId="5" applyFont="1" applyFill="1" applyBorder="1" applyAlignment="1" applyProtection="1">
      <alignment horizontal="center"/>
      <protection locked="0"/>
    </xf>
    <xf numFmtId="164" fontId="4" fillId="0" borderId="11" xfId="5" applyFont="1" applyFill="1" applyBorder="1" applyAlignment="1" applyProtection="1">
      <alignment horizontal="center"/>
      <protection locked="0"/>
    </xf>
    <xf numFmtId="164" fontId="4" fillId="2" borderId="0" xfId="5" applyFont="1" applyFill="1" applyAlignment="1" applyProtection="1">
      <alignment horizontal="center"/>
      <protection locked="0"/>
    </xf>
    <xf numFmtId="0" fontId="4" fillId="3" borderId="0" xfId="0" applyFont="1" applyFill="1" applyAlignment="1" applyProtection="1">
      <alignment horizontal="center"/>
      <protection locked="0"/>
    </xf>
    <xf numFmtId="0" fontId="0" fillId="3" borderId="0" xfId="0" applyFill="1" applyAlignment="1" applyProtection="1">
      <alignment horizontal="left" vertical="top"/>
      <protection locked="0"/>
    </xf>
    <xf numFmtId="0" fontId="9" fillId="3" borderId="0" xfId="0" applyFont="1" applyFill="1" applyAlignment="1" applyProtection="1">
      <alignment horizontal="left" vertical="top"/>
      <protection locked="0"/>
    </xf>
    <xf numFmtId="0" fontId="10" fillId="3" borderId="0" xfId="0" applyFont="1" applyFill="1" applyProtection="1">
      <protection locked="0"/>
    </xf>
    <xf numFmtId="167" fontId="4" fillId="3" borderId="0" xfId="0" applyNumberFormat="1" applyFont="1" applyFill="1" applyAlignment="1" applyProtection="1">
      <alignment horizontal="center"/>
      <protection locked="0"/>
    </xf>
    <xf numFmtId="14" fontId="4" fillId="3" borderId="0" xfId="0" applyNumberFormat="1" applyFont="1" applyFill="1" applyAlignment="1" applyProtection="1">
      <alignment horizontal="center"/>
      <protection locked="0"/>
    </xf>
    <xf numFmtId="2" fontId="4" fillId="3" borderId="0" xfId="0" applyNumberFormat="1" applyFont="1" applyFill="1" applyAlignment="1" applyProtection="1">
      <alignment horizontal="center"/>
      <protection locked="0"/>
    </xf>
    <xf numFmtId="164" fontId="13" fillId="3" borderId="0" xfId="5" applyFont="1" applyFill="1" applyAlignment="1" applyProtection="1">
      <alignment horizontal="center"/>
      <protection locked="0"/>
    </xf>
    <xf numFmtId="164" fontId="4" fillId="3" borderId="0" xfId="5" applyFont="1" applyFill="1" applyAlignment="1" applyProtection="1">
      <alignment horizontal="center"/>
      <protection locked="0"/>
    </xf>
    <xf numFmtId="0" fontId="8" fillId="3" borderId="0" xfId="0" applyFont="1" applyFill="1" applyProtection="1">
      <protection locked="0"/>
    </xf>
    <xf numFmtId="0" fontId="4" fillId="3" borderId="7" xfId="0" applyFont="1" applyFill="1" applyBorder="1" applyProtection="1">
      <protection locked="0"/>
    </xf>
    <xf numFmtId="0" fontId="5" fillId="3" borderId="7" xfId="0" applyFont="1" applyFill="1" applyBorder="1" applyProtection="1">
      <protection locked="0"/>
    </xf>
    <xf numFmtId="0" fontId="7" fillId="3" borderId="0" xfId="0" applyFont="1" applyFill="1" applyAlignment="1" applyProtection="1">
      <alignment horizontal="center"/>
      <protection locked="0"/>
    </xf>
    <xf numFmtId="40" fontId="15" fillId="5" borderId="6" xfId="0" applyNumberFormat="1" applyFont="1" applyFill="1" applyBorder="1" applyAlignment="1" applyProtection="1">
      <alignment horizontal="center"/>
      <protection locked="0"/>
    </xf>
    <xf numFmtId="40" fontId="11" fillId="5" borderId="12" xfId="0" applyNumberFormat="1" applyFont="1" applyFill="1" applyBorder="1" applyAlignment="1" applyProtection="1">
      <alignment horizontal="center"/>
      <protection locked="0"/>
    </xf>
    <xf numFmtId="40" fontId="10" fillId="0" borderId="16" xfId="0" applyNumberFormat="1" applyFont="1" applyBorder="1" applyProtection="1">
      <protection locked="0"/>
    </xf>
    <xf numFmtId="40" fontId="10" fillId="0" borderId="18" xfId="0" applyNumberFormat="1" applyFont="1" applyBorder="1" applyProtection="1">
      <protection locked="0"/>
    </xf>
    <xf numFmtId="40" fontId="10" fillId="0" borderId="20" xfId="0" applyNumberFormat="1" applyFont="1" applyBorder="1" applyProtection="1">
      <protection locked="0"/>
    </xf>
    <xf numFmtId="0" fontId="10" fillId="7" borderId="7" xfId="0" applyFont="1" applyFill="1" applyBorder="1" applyAlignment="1" applyProtection="1">
      <alignment horizontal="left"/>
      <protection locked="0"/>
    </xf>
    <xf numFmtId="0" fontId="22" fillId="6" borderId="5" xfId="0" applyFont="1" applyFill="1" applyBorder="1" applyAlignment="1" applyProtection="1">
      <alignment vertical="center"/>
      <protection locked="0"/>
    </xf>
    <xf numFmtId="0" fontId="22" fillId="6" borderId="8" xfId="0" applyFont="1" applyFill="1" applyBorder="1" applyAlignment="1" applyProtection="1">
      <alignment vertical="center"/>
      <protection locked="0"/>
    </xf>
    <xf numFmtId="0" fontId="9" fillId="0" borderId="25" xfId="0" applyFont="1" applyBorder="1" applyAlignment="1" applyProtection="1">
      <alignment horizontal="right"/>
      <protection locked="0"/>
    </xf>
    <xf numFmtId="0" fontId="5" fillId="2" borderId="27" xfId="0" applyFont="1" applyFill="1" applyBorder="1" applyProtection="1">
      <protection locked="0"/>
    </xf>
    <xf numFmtId="0" fontId="6" fillId="2" borderId="27" xfId="0" applyFont="1" applyFill="1" applyBorder="1" applyProtection="1">
      <protection locked="0"/>
    </xf>
    <xf numFmtId="0" fontId="5" fillId="0" borderId="27" xfId="0" applyFont="1" applyBorder="1" applyProtection="1">
      <protection locked="0"/>
    </xf>
    <xf numFmtId="0" fontId="4" fillId="2" borderId="28" xfId="0" applyFont="1" applyFill="1" applyBorder="1" applyProtection="1">
      <protection locked="0"/>
    </xf>
    <xf numFmtId="0" fontId="22" fillId="6" borderId="29" xfId="0" applyFont="1" applyFill="1" applyBorder="1" applyAlignment="1" applyProtection="1">
      <alignment vertical="center"/>
      <protection locked="0"/>
    </xf>
    <xf numFmtId="40" fontId="11" fillId="6" borderId="30" xfId="0" applyNumberFormat="1" applyFont="1" applyFill="1" applyBorder="1" applyAlignment="1" applyProtection="1">
      <alignment horizontal="center"/>
      <protection locked="0"/>
    </xf>
    <xf numFmtId="0" fontId="21" fillId="6" borderId="11" xfId="0" applyFont="1" applyFill="1" applyBorder="1" applyAlignment="1" applyProtection="1">
      <alignment horizontal="center" vertical="center"/>
      <protection locked="0"/>
    </xf>
    <xf numFmtId="40" fontId="22" fillId="5" borderId="31" xfId="0" applyNumberFormat="1" applyFont="1" applyFill="1" applyBorder="1"/>
    <xf numFmtId="0" fontId="22" fillId="5" borderId="12" xfId="0" applyFont="1" applyFill="1" applyBorder="1" applyAlignment="1" applyProtection="1">
      <alignment horizontal="center" vertical="center"/>
      <protection locked="0"/>
    </xf>
    <xf numFmtId="0" fontId="10" fillId="7" borderId="23" xfId="0" applyFont="1" applyFill="1" applyBorder="1" applyAlignment="1" applyProtection="1">
      <alignment horizontal="left"/>
      <protection locked="0"/>
    </xf>
    <xf numFmtId="167" fontId="21" fillId="6" borderId="7" xfId="0" applyNumberFormat="1" applyFont="1" applyFill="1" applyBorder="1" applyAlignment="1" applyProtection="1">
      <alignment horizontal="center"/>
      <protection locked="0"/>
    </xf>
    <xf numFmtId="0" fontId="21" fillId="6" borderId="7" xfId="0" applyFont="1" applyFill="1" applyBorder="1" applyAlignment="1" applyProtection="1">
      <alignment horizontal="center"/>
      <protection locked="0"/>
    </xf>
    <xf numFmtId="164" fontId="21" fillId="6" borderId="7" xfId="5" applyFont="1" applyFill="1" applyBorder="1" applyAlignment="1" applyProtection="1">
      <alignment horizontal="center"/>
      <protection locked="0"/>
    </xf>
    <xf numFmtId="0" fontId="9" fillId="3" borderId="32" xfId="0" applyFont="1" applyFill="1" applyBorder="1" applyAlignment="1" applyProtection="1">
      <alignment horizontal="right"/>
      <protection locked="0"/>
    </xf>
    <xf numFmtId="0" fontId="9" fillId="3" borderId="27" xfId="0" applyFont="1" applyFill="1" applyBorder="1" applyAlignment="1" applyProtection="1">
      <alignment horizontal="right"/>
      <protection locked="0"/>
    </xf>
    <xf numFmtId="40" fontId="21" fillId="3" borderId="27" xfId="0" applyNumberFormat="1" applyFont="1" applyFill="1" applyBorder="1"/>
    <xf numFmtId="40" fontId="22" fillId="3" borderId="27" xfId="0" applyNumberFormat="1" applyFont="1" applyFill="1" applyBorder="1"/>
    <xf numFmtId="40" fontId="22" fillId="5" borderId="34" xfId="0" applyNumberFormat="1" applyFont="1" applyFill="1" applyBorder="1"/>
    <xf numFmtId="0" fontId="23" fillId="0" borderId="0" xfId="0" applyFont="1" applyAlignment="1" applyProtection="1">
      <alignment horizontal="right"/>
      <protection locked="0"/>
    </xf>
    <xf numFmtId="40" fontId="22" fillId="5" borderId="36" xfId="0" applyNumberFormat="1" applyFont="1" applyFill="1" applyBorder="1"/>
    <xf numFmtId="0" fontId="25" fillId="3" borderId="0" xfId="0" applyFont="1" applyFill="1" applyAlignment="1" applyProtection="1">
      <alignment vertical="center" wrapText="1"/>
      <protection locked="0"/>
    </xf>
    <xf numFmtId="0" fontId="4" fillId="9" borderId="0" xfId="0" applyFont="1" applyFill="1" applyProtection="1">
      <protection locked="0"/>
    </xf>
    <xf numFmtId="0" fontId="6" fillId="9" borderId="0" xfId="0" applyFont="1" applyFill="1" applyProtection="1">
      <protection locked="0"/>
    </xf>
    <xf numFmtId="167"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5" applyFont="1" applyFill="1" applyAlignment="1" applyProtection="1">
      <alignment horizontal="center"/>
      <protection locked="0"/>
    </xf>
    <xf numFmtId="0" fontId="5" fillId="9" borderId="0" xfId="0" applyFont="1" applyFill="1" applyProtection="1">
      <protection locked="0"/>
    </xf>
    <xf numFmtId="40" fontId="10" fillId="4" borderId="5" xfId="0" applyNumberFormat="1" applyFont="1" applyFill="1" applyBorder="1"/>
    <xf numFmtId="40" fontId="10" fillId="4" borderId="24" xfId="0" applyNumberFormat="1" applyFont="1" applyFill="1" applyBorder="1"/>
    <xf numFmtId="40" fontId="37" fillId="4" borderId="26" xfId="0" applyNumberFormat="1" applyFont="1" applyFill="1" applyBorder="1"/>
    <xf numFmtId="40" fontId="37" fillId="4" borderId="33" xfId="0" applyNumberFormat="1" applyFont="1" applyFill="1" applyBorder="1"/>
    <xf numFmtId="0" fontId="37" fillId="4" borderId="39" xfId="0" applyFont="1" applyFill="1" applyBorder="1" applyAlignment="1" applyProtection="1">
      <alignment horizontal="left"/>
      <protection locked="0"/>
    </xf>
    <xf numFmtId="40" fontId="37" fillId="4" borderId="40" xfId="0" applyNumberFormat="1" applyFont="1" applyFill="1" applyBorder="1"/>
    <xf numFmtId="40" fontId="37" fillId="4" borderId="41" xfId="0" applyNumberFormat="1" applyFont="1" applyFill="1" applyBorder="1"/>
    <xf numFmtId="0" fontId="37" fillId="4" borderId="42" xfId="0" applyFont="1" applyFill="1" applyBorder="1" applyAlignment="1" applyProtection="1">
      <alignment horizontal="left"/>
      <protection locked="0"/>
    </xf>
    <xf numFmtId="40" fontId="37" fillId="4" borderId="43" xfId="0" applyNumberFormat="1" applyFont="1" applyFill="1" applyBorder="1"/>
    <xf numFmtId="40" fontId="37" fillId="4" borderId="44" xfId="0" applyNumberFormat="1" applyFont="1" applyFill="1" applyBorder="1"/>
    <xf numFmtId="40" fontId="21" fillId="4" borderId="35" xfId="0" applyNumberFormat="1" applyFont="1" applyFill="1" applyBorder="1"/>
    <xf numFmtId="0" fontId="5" fillId="3" borderId="0" xfId="0" applyFont="1" applyFill="1" applyAlignment="1" applyProtection="1">
      <alignment vertical="top"/>
      <protection locked="0"/>
    </xf>
    <xf numFmtId="0" fontId="25" fillId="3" borderId="38" xfId="0" applyFont="1" applyFill="1" applyBorder="1" applyAlignment="1" applyProtection="1">
      <alignment horizontal="center" vertical="center"/>
      <protection locked="0"/>
    </xf>
    <xf numFmtId="0" fontId="26" fillId="3" borderId="0" xfId="0" applyFont="1" applyFill="1" applyAlignment="1" applyProtection="1">
      <alignment vertical="center" wrapText="1"/>
      <protection locked="0"/>
    </xf>
    <xf numFmtId="40" fontId="10" fillId="0" borderId="51" xfId="0" applyNumberFormat="1" applyFont="1" applyBorder="1" applyProtection="1">
      <protection locked="0"/>
    </xf>
    <xf numFmtId="0" fontId="41" fillId="2" borderId="0" xfId="0" applyFont="1" applyFill="1" applyProtection="1">
      <protection locked="0"/>
    </xf>
    <xf numFmtId="0" fontId="14" fillId="3" borderId="0" xfId="0" applyFont="1" applyFill="1" applyAlignment="1" applyProtection="1">
      <alignment horizontal="center" vertical="center"/>
      <protection locked="0"/>
    </xf>
    <xf numFmtId="164" fontId="14" fillId="3" borderId="0" xfId="5"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164" fontId="13" fillId="3" borderId="0" xfId="5" applyFont="1" applyFill="1" applyBorder="1" applyAlignment="1" applyProtection="1">
      <alignment horizontal="center" vertical="center"/>
      <protection locked="0"/>
    </xf>
    <xf numFmtId="0" fontId="14" fillId="0" borderId="52" xfId="0" applyFont="1" applyBorder="1" applyAlignment="1" applyProtection="1">
      <alignment horizontal="center" vertical="center"/>
      <protection locked="0"/>
    </xf>
    <xf numFmtId="164" fontId="14" fillId="0" borderId="52" xfId="5" applyFont="1" applyFill="1" applyBorder="1" applyAlignment="1" applyProtection="1">
      <alignment horizontal="center" vertical="center"/>
      <protection locked="0"/>
    </xf>
    <xf numFmtId="0" fontId="13" fillId="0" borderId="52" xfId="0" applyFont="1" applyBorder="1" applyAlignment="1" applyProtection="1">
      <alignment horizontal="center" vertical="center"/>
      <protection locked="0"/>
    </xf>
    <xf numFmtId="167" fontId="14" fillId="3" borderId="0" xfId="0" applyNumberFormat="1" applyFont="1" applyFill="1" applyAlignment="1" applyProtection="1">
      <alignment horizontal="center"/>
      <protection locked="0"/>
    </xf>
    <xf numFmtId="14" fontId="14" fillId="3" borderId="0" xfId="0" applyNumberFormat="1" applyFont="1" applyFill="1" applyAlignment="1" applyProtection="1">
      <alignment horizontal="center" vertical="center"/>
      <protection locked="0"/>
    </xf>
    <xf numFmtId="167" fontId="13" fillId="3" borderId="0" xfId="0" applyNumberFormat="1" applyFont="1" applyFill="1" applyAlignment="1" applyProtection="1">
      <alignment horizontal="center"/>
      <protection locked="0"/>
    </xf>
    <xf numFmtId="14" fontId="13" fillId="3" borderId="0" xfId="0" applyNumberFormat="1" applyFont="1" applyFill="1" applyAlignment="1" applyProtection="1">
      <alignment horizontal="center" vertical="center"/>
      <protection locked="0"/>
    </xf>
    <xf numFmtId="167" fontId="14" fillId="0" borderId="37" xfId="0" applyNumberFormat="1" applyFont="1" applyBorder="1" applyAlignment="1" applyProtection="1">
      <alignment horizontal="center"/>
      <protection locked="0"/>
    </xf>
    <xf numFmtId="14" fontId="14" fillId="0" borderId="38" xfId="0" applyNumberFormat="1" applyFont="1" applyBorder="1" applyAlignment="1" applyProtection="1">
      <alignment horizontal="center" vertical="center"/>
      <protection locked="0"/>
    </xf>
    <xf numFmtId="164" fontId="5" fillId="3" borderId="0" xfId="5" applyFont="1" applyFill="1" applyProtection="1">
      <protection locked="0"/>
    </xf>
    <xf numFmtId="0" fontId="10" fillId="3" borderId="7" xfId="0" applyFont="1" applyFill="1" applyBorder="1" applyProtection="1">
      <protection locked="0"/>
    </xf>
    <xf numFmtId="0" fontId="44" fillId="0" borderId="13" xfId="0" applyFont="1" applyBorder="1" applyAlignment="1" applyProtection="1">
      <alignment horizontal="center" vertical="center" wrapText="1"/>
      <protection locked="0"/>
    </xf>
    <xf numFmtId="0" fontId="43" fillId="0" borderId="13" xfId="0" quotePrefix="1" applyFont="1" applyBorder="1" applyAlignment="1" applyProtection="1">
      <alignment horizontal="center" vertical="center"/>
      <protection locked="0"/>
    </xf>
    <xf numFmtId="164" fontId="43" fillId="0" borderId="13" xfId="5" applyFont="1" applyFill="1" applyBorder="1" applyAlignment="1" applyProtection="1">
      <alignment horizontal="center" vertical="center"/>
      <protection locked="0"/>
    </xf>
    <xf numFmtId="0" fontId="43" fillId="0" borderId="13" xfId="0" applyFont="1" applyBorder="1" applyAlignment="1" applyProtection="1">
      <alignment horizontal="center" vertical="center"/>
      <protection locked="0"/>
    </xf>
    <xf numFmtId="40" fontId="38" fillId="4" borderId="54" xfId="0" applyNumberFormat="1" applyFont="1" applyFill="1" applyBorder="1"/>
    <xf numFmtId="40" fontId="37" fillId="4" borderId="58" xfId="0" applyNumberFormat="1" applyFont="1" applyFill="1" applyBorder="1"/>
    <xf numFmtId="40" fontId="10" fillId="4" borderId="3" xfId="0" applyNumberFormat="1" applyFont="1" applyFill="1" applyBorder="1"/>
    <xf numFmtId="0" fontId="22" fillId="6" borderId="59" xfId="0" applyFont="1" applyFill="1" applyBorder="1" applyAlignment="1" applyProtection="1">
      <alignment vertical="center"/>
      <protection locked="0"/>
    </xf>
    <xf numFmtId="0" fontId="22" fillId="6" borderId="60" xfId="0" applyFont="1" applyFill="1" applyBorder="1" applyAlignment="1" applyProtection="1">
      <alignment vertical="center"/>
      <protection locked="0"/>
    </xf>
    <xf numFmtId="0" fontId="4" fillId="2" borderId="4" xfId="0" applyFont="1" applyFill="1" applyBorder="1" applyProtection="1">
      <protection locked="0"/>
    </xf>
    <xf numFmtId="0" fontId="7" fillId="3" borderId="27" xfId="0" applyFont="1" applyFill="1" applyBorder="1" applyAlignment="1" applyProtection="1">
      <alignment horizontal="center"/>
      <protection locked="0"/>
    </xf>
    <xf numFmtId="0" fontId="5" fillId="3" borderId="27" xfId="0" applyFont="1" applyFill="1" applyBorder="1" applyProtection="1">
      <protection locked="0"/>
    </xf>
    <xf numFmtId="40" fontId="51" fillId="0" borderId="55" xfId="0" applyNumberFormat="1" applyFont="1" applyBorder="1" applyProtection="1">
      <protection locked="0"/>
    </xf>
    <xf numFmtId="40" fontId="51" fillId="0" borderId="56" xfId="0" applyNumberFormat="1" applyFont="1" applyBorder="1" applyProtection="1">
      <protection locked="0"/>
    </xf>
    <xf numFmtId="40" fontId="51" fillId="0" borderId="64" xfId="0" applyNumberFormat="1" applyFont="1" applyBorder="1" applyProtection="1">
      <protection locked="0"/>
    </xf>
    <xf numFmtId="40" fontId="51" fillId="0" borderId="57" xfId="0" applyNumberFormat="1" applyFont="1" applyBorder="1" applyProtection="1">
      <protection locked="0"/>
    </xf>
    <xf numFmtId="40" fontId="51" fillId="4" borderId="64" xfId="0" applyNumberFormat="1" applyFont="1" applyFill="1" applyBorder="1"/>
    <xf numFmtId="40" fontId="37" fillId="4" borderId="67" xfId="0" applyNumberFormat="1" applyFont="1" applyFill="1" applyBorder="1"/>
    <xf numFmtId="40" fontId="51" fillId="0" borderId="68" xfId="0" applyNumberFormat="1" applyFont="1" applyBorder="1" applyProtection="1">
      <protection locked="0"/>
    </xf>
    <xf numFmtId="40" fontId="51" fillId="0" borderId="69" xfId="0" applyNumberFormat="1" applyFont="1" applyBorder="1" applyProtection="1">
      <protection locked="0"/>
    </xf>
    <xf numFmtId="0" fontId="22" fillId="6" borderId="62" xfId="0" applyFont="1" applyFill="1" applyBorder="1" applyAlignment="1">
      <alignment horizontal="center" vertical="center"/>
    </xf>
    <xf numFmtId="0" fontId="10" fillId="7" borderId="8" xfId="0" applyFont="1" applyFill="1" applyBorder="1" applyAlignment="1">
      <alignment horizontal="left"/>
    </xf>
    <xf numFmtId="0" fontId="10" fillId="7" borderId="7" xfId="0" applyFont="1" applyFill="1" applyBorder="1" applyAlignment="1">
      <alignment horizontal="left"/>
    </xf>
    <xf numFmtId="0" fontId="10" fillId="7" borderId="23" xfId="0" applyFont="1" applyFill="1" applyBorder="1" applyAlignment="1">
      <alignment horizontal="left"/>
    </xf>
    <xf numFmtId="0" fontId="50" fillId="0" borderId="25" xfId="0" applyFont="1" applyBorder="1" applyAlignment="1">
      <alignment horizontal="right"/>
    </xf>
    <xf numFmtId="0" fontId="22" fillId="6" borderId="60" xfId="0" applyFont="1" applyFill="1" applyBorder="1" applyAlignment="1">
      <alignment vertical="center"/>
    </xf>
    <xf numFmtId="0" fontId="22" fillId="6" borderId="59" xfId="0" applyFont="1" applyFill="1" applyBorder="1" applyAlignment="1">
      <alignment vertical="center"/>
    </xf>
    <xf numFmtId="0" fontId="25" fillId="8" borderId="37" xfId="0" applyFont="1" applyFill="1" applyBorder="1" applyAlignment="1">
      <alignment horizontal="center" vertical="center"/>
    </xf>
    <xf numFmtId="0" fontId="50" fillId="0" borderId="10" xfId="0" applyFont="1" applyBorder="1" applyAlignment="1">
      <alignment horizontal="right"/>
    </xf>
    <xf numFmtId="165" fontId="37" fillId="4" borderId="65" xfId="6" applyFont="1" applyFill="1" applyBorder="1" applyAlignment="1" applyProtection="1">
      <alignment horizontal="left"/>
    </xf>
    <xf numFmtId="0" fontId="9" fillId="0" borderId="25" xfId="0" applyFont="1" applyBorder="1" applyAlignment="1">
      <alignment horizontal="right"/>
    </xf>
    <xf numFmtId="0" fontId="10" fillId="7" borderId="6" xfId="0" applyFont="1" applyFill="1" applyBorder="1" applyAlignment="1">
      <alignment horizontal="left"/>
    </xf>
    <xf numFmtId="0" fontId="4" fillId="3" borderId="0" xfId="0" applyFont="1" applyFill="1"/>
    <xf numFmtId="0" fontId="28" fillId="3" borderId="0" xfId="0" applyFont="1" applyFill="1"/>
    <xf numFmtId="0" fontId="5" fillId="3" borderId="0" xfId="0" applyFont="1" applyFill="1"/>
    <xf numFmtId="0" fontId="14" fillId="3" borderId="0" xfId="0" applyFont="1" applyFill="1" applyAlignment="1" applyProtection="1">
      <alignment horizontal="right" vertical="center"/>
      <protection locked="0"/>
    </xf>
    <xf numFmtId="0" fontId="25" fillId="8" borderId="0" xfId="0" applyFont="1" applyFill="1" applyAlignment="1">
      <alignment horizontal="center" vertical="center"/>
    </xf>
    <xf numFmtId="166" fontId="14" fillId="3" borderId="0" xfId="0" applyNumberFormat="1" applyFont="1" applyFill="1" applyAlignment="1" applyProtection="1">
      <alignment horizontal="center" vertical="center"/>
      <protection locked="0"/>
    </xf>
    <xf numFmtId="0" fontId="44" fillId="0" borderId="73" xfId="0" applyFont="1" applyBorder="1" applyAlignment="1" applyProtection="1">
      <alignment horizontal="center" vertical="center" wrapText="1"/>
      <protection locked="0"/>
    </xf>
    <xf numFmtId="0" fontId="43" fillId="0" borderId="73" xfId="0" applyFont="1" applyBorder="1" applyAlignment="1" applyProtection="1">
      <alignment horizontal="center" vertical="center"/>
      <protection locked="0"/>
    </xf>
    <xf numFmtId="164" fontId="43" fillId="0" borderId="73" xfId="5" applyFont="1" applyFill="1" applyBorder="1" applyAlignment="1" applyProtection="1">
      <alignment horizontal="center" vertical="center"/>
      <protection locked="0"/>
    </xf>
    <xf numFmtId="14" fontId="43" fillId="0" borderId="74" xfId="0" applyNumberFormat="1" applyFont="1" applyBorder="1" applyAlignment="1" applyProtection="1">
      <alignment horizontal="center" vertical="center"/>
      <protection locked="0"/>
    </xf>
    <xf numFmtId="14" fontId="43" fillId="0" borderId="76" xfId="0" applyNumberFormat="1" applyFont="1" applyBorder="1" applyAlignment="1" applyProtection="1">
      <alignment horizontal="center" vertical="center"/>
      <protection locked="0"/>
    </xf>
    <xf numFmtId="0" fontId="44" fillId="0" borderId="78" xfId="0" applyFont="1" applyBorder="1" applyAlignment="1" applyProtection="1">
      <alignment horizontal="center" vertical="center" wrapText="1"/>
      <protection locked="0"/>
    </xf>
    <xf numFmtId="0" fontId="43" fillId="0" borderId="78" xfId="0" applyFont="1" applyBorder="1" applyAlignment="1" applyProtection="1">
      <alignment horizontal="center" vertical="center"/>
      <protection locked="0"/>
    </xf>
    <xf numFmtId="164" fontId="43" fillId="0" borderId="78" xfId="5" applyFont="1" applyFill="1" applyBorder="1" applyAlignment="1" applyProtection="1">
      <alignment horizontal="center" vertical="center"/>
      <protection locked="0"/>
    </xf>
    <xf numFmtId="166" fontId="43" fillId="0" borderId="79" xfId="0" applyNumberFormat="1" applyFont="1" applyBorder="1" applyAlignment="1" applyProtection="1">
      <alignment horizontal="center" vertical="center"/>
      <protection locked="0"/>
    </xf>
    <xf numFmtId="0" fontId="58" fillId="0" borderId="10" xfId="0" applyFont="1" applyBorder="1" applyAlignment="1">
      <alignment horizontal="right"/>
    </xf>
    <xf numFmtId="0" fontId="4" fillId="13" borderId="0" xfId="0" applyFont="1" applyFill="1" applyProtection="1">
      <protection hidden="1"/>
    </xf>
    <xf numFmtId="0" fontId="6" fillId="13" borderId="0" xfId="0" applyFont="1" applyFill="1" applyProtection="1">
      <protection hidden="1"/>
    </xf>
    <xf numFmtId="167" fontId="4" fillId="13" borderId="0" xfId="0" applyNumberFormat="1" applyFont="1" applyFill="1" applyAlignment="1" applyProtection="1">
      <alignment horizontal="center"/>
      <protection hidden="1"/>
    </xf>
    <xf numFmtId="0" fontId="4" fillId="13" borderId="0" xfId="0" applyFont="1" applyFill="1" applyAlignment="1" applyProtection="1">
      <alignment horizontal="center"/>
      <protection hidden="1"/>
    </xf>
    <xf numFmtId="164" fontId="4" fillId="13" borderId="0" xfId="5" applyFont="1" applyFill="1" applyAlignment="1" applyProtection="1">
      <alignment horizontal="center"/>
      <protection hidden="1"/>
    </xf>
    <xf numFmtId="0" fontId="4" fillId="10" borderId="0" xfId="0" applyFont="1" applyFill="1" applyProtection="1">
      <protection hidden="1"/>
    </xf>
    <xf numFmtId="0" fontId="25" fillId="10" borderId="0" xfId="0" applyFont="1" applyFill="1" applyAlignment="1" applyProtection="1">
      <alignment vertical="center" wrapText="1"/>
      <protection hidden="1"/>
    </xf>
    <xf numFmtId="0" fontId="8" fillId="10" borderId="0" xfId="0" applyFont="1" applyFill="1" applyProtection="1">
      <protection hidden="1"/>
    </xf>
    <xf numFmtId="0" fontId="47" fillId="10" borderId="0" xfId="0" applyFont="1" applyFill="1" applyAlignment="1" applyProtection="1">
      <alignment horizontal="center" vertical="center"/>
      <protection hidden="1"/>
    </xf>
    <xf numFmtId="0" fontId="7" fillId="10" borderId="0" xfId="0" applyFont="1" applyFill="1" applyAlignment="1" applyProtection="1">
      <alignment horizontal="center"/>
      <protection hidden="1"/>
    </xf>
    <xf numFmtId="0" fontId="25" fillId="8" borderId="3" xfId="0" applyFont="1" applyFill="1" applyBorder="1" applyAlignment="1" applyProtection="1">
      <alignment horizontal="center" vertical="center"/>
      <protection hidden="1"/>
    </xf>
    <xf numFmtId="0" fontId="22" fillId="6" borderId="59" xfId="0" applyFont="1" applyFill="1" applyBorder="1" applyAlignment="1" applyProtection="1">
      <alignment vertical="center"/>
      <protection hidden="1"/>
    </xf>
    <xf numFmtId="0" fontId="22" fillId="6" borderId="60" xfId="0" applyFont="1" applyFill="1" applyBorder="1" applyAlignment="1" applyProtection="1">
      <alignment vertical="center"/>
      <protection hidden="1"/>
    </xf>
    <xf numFmtId="0" fontId="22" fillId="6" borderId="61" xfId="0" applyFont="1" applyFill="1" applyBorder="1" applyAlignment="1" applyProtection="1">
      <alignment horizontal="center" vertical="center"/>
      <protection hidden="1"/>
    </xf>
    <xf numFmtId="167" fontId="10" fillId="10" borderId="0" xfId="0" applyNumberFormat="1" applyFont="1" applyFill="1" applyAlignment="1" applyProtection="1">
      <alignment horizontal="left"/>
      <protection hidden="1"/>
    </xf>
    <xf numFmtId="0" fontId="10" fillId="10" borderId="0" xfId="0" applyFont="1" applyFill="1" applyAlignment="1" applyProtection="1">
      <alignment horizontal="left"/>
      <protection hidden="1"/>
    </xf>
    <xf numFmtId="164" fontId="10" fillId="10" borderId="0" xfId="5" applyFont="1" applyFill="1" applyBorder="1" applyAlignment="1" applyProtection="1">
      <alignment horizontal="left"/>
      <protection hidden="1"/>
    </xf>
    <xf numFmtId="0" fontId="5" fillId="10" borderId="0" xfId="0" applyFont="1" applyFill="1" applyProtection="1">
      <protection hidden="1"/>
    </xf>
    <xf numFmtId="40" fontId="10" fillId="11" borderId="5" xfId="0" applyNumberFormat="1" applyFont="1" applyFill="1" applyBorder="1" applyProtection="1">
      <protection hidden="1"/>
    </xf>
    <xf numFmtId="40" fontId="51" fillId="0" borderId="55" xfId="0" applyNumberFormat="1" applyFont="1" applyBorder="1" applyProtection="1">
      <protection hidden="1"/>
    </xf>
    <xf numFmtId="0" fontId="49" fillId="10" borderId="0" xfId="0" applyFont="1" applyFill="1" applyAlignment="1" applyProtection="1">
      <alignment horizontal="center" vertical="center"/>
      <protection hidden="1"/>
    </xf>
    <xf numFmtId="167" fontId="56" fillId="6" borderId="7" xfId="0" applyNumberFormat="1" applyFont="1" applyFill="1" applyBorder="1" applyAlignment="1" applyProtection="1">
      <alignment horizontal="center"/>
      <protection hidden="1"/>
    </xf>
    <xf numFmtId="0" fontId="56" fillId="6" borderId="7" xfId="0" applyFont="1" applyFill="1" applyBorder="1" applyAlignment="1" applyProtection="1">
      <alignment horizontal="center"/>
      <protection hidden="1"/>
    </xf>
    <xf numFmtId="164" fontId="56" fillId="6" borderId="7" xfId="5" applyFont="1" applyFill="1" applyBorder="1" applyAlignment="1" applyProtection="1">
      <alignment horizontal="center"/>
      <protection hidden="1"/>
    </xf>
    <xf numFmtId="0" fontId="6" fillId="10" borderId="0" xfId="0" applyFont="1" applyFill="1" applyProtection="1">
      <protection hidden="1"/>
    </xf>
    <xf numFmtId="40" fontId="10" fillId="11" borderId="24" xfId="0" applyNumberFormat="1" applyFont="1" applyFill="1" applyBorder="1" applyProtection="1">
      <protection hidden="1"/>
    </xf>
    <xf numFmtId="40" fontId="51" fillId="0" borderId="56" xfId="0" applyNumberFormat="1" applyFont="1" applyBorder="1" applyProtection="1">
      <protection hidden="1"/>
    </xf>
    <xf numFmtId="167" fontId="14" fillId="11" borderId="1" xfId="0" applyNumberFormat="1" applyFont="1" applyFill="1" applyBorder="1" applyAlignment="1" applyProtection="1">
      <alignment horizontal="center"/>
      <protection hidden="1"/>
    </xf>
    <xf numFmtId="40" fontId="14" fillId="11" borderId="0" xfId="0" applyNumberFormat="1" applyFont="1" applyFill="1" applyAlignment="1" applyProtection="1">
      <alignment horizontal="center" vertical="center" wrapText="1"/>
      <protection hidden="1"/>
    </xf>
    <xf numFmtId="0" fontId="13" fillId="11" borderId="10" xfId="0" applyFont="1" applyFill="1" applyBorder="1" applyAlignment="1" applyProtection="1">
      <alignment horizontal="center" vertical="center"/>
      <protection hidden="1"/>
    </xf>
    <xf numFmtId="164" fontId="14" fillId="11" borderId="10" xfId="5" applyFont="1" applyFill="1" applyBorder="1" applyAlignment="1" applyProtection="1">
      <alignment horizontal="center" vertical="center"/>
      <protection hidden="1"/>
    </xf>
    <xf numFmtId="0" fontId="14" fillId="11" borderId="10" xfId="0" applyFont="1" applyFill="1" applyBorder="1" applyAlignment="1" applyProtection="1">
      <alignment horizontal="center" vertical="center"/>
      <protection hidden="1"/>
    </xf>
    <xf numFmtId="166" fontId="14" fillId="11" borderId="2" xfId="0" applyNumberFormat="1" applyFont="1" applyFill="1" applyBorder="1" applyAlignment="1" applyProtection="1">
      <alignment horizontal="center" vertical="center"/>
      <protection hidden="1"/>
    </xf>
    <xf numFmtId="0" fontId="5" fillId="13" borderId="0" xfId="0" applyFont="1" applyFill="1" applyProtection="1">
      <protection hidden="1"/>
    </xf>
    <xf numFmtId="0" fontId="5" fillId="10" borderId="27" xfId="0" applyFont="1" applyFill="1" applyBorder="1" applyProtection="1">
      <protection hidden="1"/>
    </xf>
    <xf numFmtId="0" fontId="9" fillId="10" borderId="25" xfId="0" applyFont="1" applyFill="1" applyBorder="1" applyAlignment="1" applyProtection="1">
      <alignment horizontal="right"/>
      <protection hidden="1"/>
    </xf>
    <xf numFmtId="0" fontId="50" fillId="10" borderId="25" xfId="0" applyFont="1" applyFill="1" applyBorder="1" applyAlignment="1" applyProtection="1">
      <alignment horizontal="right"/>
      <protection hidden="1"/>
    </xf>
    <xf numFmtId="40" fontId="51" fillId="0" borderId="63" xfId="0" applyNumberFormat="1" applyFont="1" applyBorder="1" applyProtection="1">
      <protection hidden="1"/>
    </xf>
    <xf numFmtId="167" fontId="14" fillId="11" borderId="3" xfId="0" applyNumberFormat="1" applyFont="1" applyFill="1" applyBorder="1" applyAlignment="1" applyProtection="1">
      <alignment horizontal="center"/>
      <protection hidden="1"/>
    </xf>
    <xf numFmtId="0" fontId="13" fillId="11" borderId="0" xfId="0" applyFont="1" applyFill="1" applyAlignment="1" applyProtection="1">
      <alignment horizontal="center" vertical="center" wrapText="1"/>
      <protection hidden="1"/>
    </xf>
    <xf numFmtId="0" fontId="14" fillId="11" borderId="0" xfId="0" applyFont="1" applyFill="1" applyAlignment="1" applyProtection="1">
      <alignment horizontal="center" vertical="center"/>
      <protection hidden="1"/>
    </xf>
    <xf numFmtId="164" fontId="13" fillId="11" borderId="0" xfId="5" applyFont="1" applyFill="1" applyBorder="1" applyAlignment="1" applyProtection="1">
      <alignment horizontal="center" vertical="center"/>
      <protection hidden="1"/>
    </xf>
    <xf numFmtId="0" fontId="13" fillId="11" borderId="0" xfId="0" applyFont="1" applyFill="1" applyAlignment="1" applyProtection="1">
      <alignment horizontal="center" vertical="center"/>
      <protection hidden="1"/>
    </xf>
    <xf numFmtId="166" fontId="14" fillId="11" borderId="4" xfId="0" applyNumberFormat="1" applyFont="1" applyFill="1" applyBorder="1" applyAlignment="1" applyProtection="1">
      <alignment horizontal="center" vertical="center"/>
      <protection hidden="1"/>
    </xf>
    <xf numFmtId="0" fontId="22" fillId="6" borderId="62" xfId="0" applyFont="1" applyFill="1" applyBorder="1" applyAlignment="1" applyProtection="1">
      <alignment horizontal="center" vertical="center"/>
      <protection hidden="1"/>
    </xf>
    <xf numFmtId="0" fontId="14" fillId="11" borderId="0" xfId="0" applyFont="1" applyFill="1" applyAlignment="1" applyProtection="1">
      <alignment horizontal="center" vertical="center" wrapText="1"/>
      <protection hidden="1"/>
    </xf>
    <xf numFmtId="0" fontId="10" fillId="10" borderId="0" xfId="0" applyFont="1" applyFill="1" applyProtection="1">
      <protection hidden="1"/>
    </xf>
    <xf numFmtId="40" fontId="10" fillId="11" borderId="3" xfId="0" applyNumberFormat="1" applyFont="1" applyFill="1" applyBorder="1" applyProtection="1">
      <protection hidden="1"/>
    </xf>
    <xf numFmtId="164" fontId="14" fillId="11" borderId="0" xfId="5" applyFont="1" applyFill="1" applyBorder="1" applyAlignment="1" applyProtection="1">
      <alignment horizontal="center" vertical="center"/>
      <protection hidden="1"/>
    </xf>
    <xf numFmtId="0" fontId="42" fillId="11" borderId="0" xfId="0" applyFont="1" applyFill="1" applyAlignment="1" applyProtection="1">
      <alignment horizontal="center" vertical="center" wrapText="1"/>
      <protection hidden="1"/>
    </xf>
    <xf numFmtId="0" fontId="22" fillId="6" borderId="80" xfId="0" applyFont="1" applyFill="1" applyBorder="1" applyAlignment="1" applyProtection="1">
      <alignment horizontal="center" vertical="center"/>
      <protection hidden="1"/>
    </xf>
    <xf numFmtId="165" fontId="37" fillId="11" borderId="10" xfId="6" applyFont="1" applyFill="1" applyBorder="1" applyAlignment="1" applyProtection="1">
      <alignment horizontal="left"/>
      <protection hidden="1"/>
    </xf>
    <xf numFmtId="0" fontId="7" fillId="10" borderId="81" xfId="0" applyFont="1" applyFill="1" applyBorder="1" applyAlignment="1" applyProtection="1">
      <alignment horizontal="center"/>
      <protection hidden="1"/>
    </xf>
    <xf numFmtId="0" fontId="54" fillId="10" borderId="0" xfId="0" applyFont="1" applyFill="1" applyAlignment="1" applyProtection="1">
      <alignment vertical="center" wrapText="1"/>
      <protection hidden="1"/>
    </xf>
    <xf numFmtId="40" fontId="42" fillId="11" borderId="0" xfId="0" applyNumberFormat="1" applyFont="1" applyFill="1" applyAlignment="1" applyProtection="1">
      <alignment horizontal="center" vertical="center" wrapText="1"/>
      <protection hidden="1"/>
    </xf>
    <xf numFmtId="0" fontId="53" fillId="6" borderId="60" xfId="0" applyFont="1" applyFill="1" applyBorder="1" applyAlignment="1" applyProtection="1">
      <alignment vertical="center"/>
      <protection hidden="1"/>
    </xf>
    <xf numFmtId="40" fontId="53" fillId="6" borderId="62" xfId="0" applyNumberFormat="1" applyFont="1" applyFill="1" applyBorder="1" applyAlignment="1" applyProtection="1">
      <alignment horizontal="center"/>
      <protection hidden="1"/>
    </xf>
    <xf numFmtId="40" fontId="51" fillId="0" borderId="55" xfId="0" applyNumberFormat="1" applyFont="1" applyBorder="1" applyAlignment="1" applyProtection="1">
      <alignment horizontal="left" vertical="center"/>
      <protection hidden="1"/>
    </xf>
    <xf numFmtId="167" fontId="13" fillId="11" borderId="3" xfId="0" applyNumberFormat="1" applyFont="1" applyFill="1" applyBorder="1" applyAlignment="1" applyProtection="1">
      <alignment horizontal="center"/>
      <protection hidden="1"/>
    </xf>
    <xf numFmtId="166" fontId="13" fillId="11" borderId="4" xfId="0" applyNumberFormat="1" applyFont="1" applyFill="1" applyBorder="1" applyAlignment="1" applyProtection="1">
      <alignment horizontal="center" vertical="center"/>
      <protection hidden="1"/>
    </xf>
    <xf numFmtId="40" fontId="51" fillId="0" borderId="68" xfId="0" applyNumberFormat="1" applyFont="1" applyBorder="1" applyAlignment="1" applyProtection="1">
      <alignment horizontal="center" vertical="center"/>
      <protection hidden="1"/>
    </xf>
    <xf numFmtId="40" fontId="51" fillId="0" borderId="69" xfId="0" applyNumberFormat="1" applyFont="1" applyBorder="1" applyAlignment="1" applyProtection="1">
      <alignment horizontal="left" vertical="center"/>
      <protection hidden="1"/>
    </xf>
    <xf numFmtId="40" fontId="37" fillId="11" borderId="26" xfId="0" applyNumberFormat="1" applyFont="1" applyFill="1" applyBorder="1" applyProtection="1">
      <protection hidden="1"/>
    </xf>
    <xf numFmtId="40" fontId="38" fillId="11" borderId="54" xfId="0" applyNumberFormat="1" applyFont="1" applyFill="1" applyBorder="1" applyProtection="1">
      <protection hidden="1"/>
    </xf>
    <xf numFmtId="0" fontId="53" fillId="6" borderId="59" xfId="0" applyFont="1" applyFill="1" applyBorder="1" applyAlignment="1" applyProtection="1">
      <alignment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25" fillId="8" borderId="37" xfId="0" applyFont="1" applyFill="1" applyBorder="1" applyAlignment="1" applyProtection="1">
      <alignment horizontal="center" vertical="center"/>
      <protection hidden="1"/>
    </xf>
    <xf numFmtId="167" fontId="43" fillId="0" borderId="15" xfId="0" applyNumberFormat="1" applyFont="1" applyBorder="1" applyAlignment="1" applyProtection="1">
      <alignment horizontal="center" vertical="center"/>
      <protection hidden="1"/>
    </xf>
    <xf numFmtId="0" fontId="44" fillId="0" borderId="21" xfId="0" applyFont="1" applyBorder="1" applyAlignment="1" applyProtection="1">
      <alignment horizontal="center" vertical="center" wrapText="1"/>
      <protection hidden="1"/>
    </xf>
    <xf numFmtId="0" fontId="43" fillId="0" borderId="21" xfId="0" applyFont="1" applyBorder="1" applyAlignment="1" applyProtection="1">
      <alignment horizontal="center" vertical="center"/>
      <protection hidden="1"/>
    </xf>
    <xf numFmtId="164" fontId="43" fillId="0" borderId="21" xfId="5" applyFont="1" applyFill="1" applyBorder="1" applyAlignment="1" applyProtection="1">
      <alignment horizontal="center" vertical="center"/>
      <protection hidden="1"/>
    </xf>
    <xf numFmtId="14" fontId="43" fillId="0" borderId="16" xfId="0" applyNumberFormat="1" applyFont="1" applyBorder="1" applyAlignment="1" applyProtection="1">
      <alignment horizontal="center" vertical="center"/>
      <protection hidden="1"/>
    </xf>
    <xf numFmtId="167" fontId="43" fillId="0" borderId="17" xfId="0" applyNumberFormat="1" applyFont="1" applyBorder="1" applyAlignment="1" applyProtection="1">
      <alignment horizontal="center" vertical="center"/>
      <protection hidden="1"/>
    </xf>
    <xf numFmtId="0" fontId="44" fillId="0" borderId="13" xfId="0" applyFont="1" applyBorder="1" applyAlignment="1" applyProtection="1">
      <alignment horizontal="center" vertical="center" wrapText="1"/>
      <protection hidden="1"/>
    </xf>
    <xf numFmtId="0" fontId="43" fillId="0" borderId="13" xfId="0" quotePrefix="1" applyFont="1" applyBorder="1" applyAlignment="1" applyProtection="1">
      <alignment horizontal="center" vertical="center"/>
      <protection hidden="1"/>
    </xf>
    <xf numFmtId="164" fontId="43" fillId="0" borderId="13" xfId="5" applyFont="1" applyFill="1" applyBorder="1" applyAlignment="1" applyProtection="1">
      <alignment horizontal="center" vertical="center"/>
      <protection hidden="1"/>
    </xf>
    <xf numFmtId="0" fontId="43" fillId="0" borderId="13" xfId="0" applyFont="1" applyBorder="1" applyAlignment="1" applyProtection="1">
      <alignment horizontal="center" vertical="center"/>
      <protection hidden="1"/>
    </xf>
    <xf numFmtId="14" fontId="43" fillId="0" borderId="18" xfId="0" applyNumberFormat="1" applyFont="1" applyBorder="1" applyAlignment="1" applyProtection="1">
      <alignment horizontal="center" vertical="center"/>
      <protection hidden="1"/>
    </xf>
    <xf numFmtId="0" fontId="0" fillId="10" borderId="14" xfId="0" applyFill="1" applyBorder="1" applyProtection="1">
      <protection hidden="1"/>
    </xf>
    <xf numFmtId="167" fontId="43" fillId="0" borderId="19" xfId="0" applyNumberFormat="1" applyFont="1" applyBorder="1" applyAlignment="1" applyProtection="1">
      <alignment horizontal="center" vertical="center"/>
      <protection hidden="1"/>
    </xf>
    <xf numFmtId="0" fontId="44" fillId="0" borderId="22" xfId="0" applyFont="1" applyBorder="1" applyAlignment="1" applyProtection="1">
      <alignment horizontal="center" vertical="center" wrapText="1"/>
      <protection hidden="1"/>
    </xf>
    <xf numFmtId="0" fontId="43" fillId="0" borderId="22" xfId="0" applyFont="1" applyBorder="1" applyAlignment="1" applyProtection="1">
      <alignment horizontal="center" vertical="center"/>
      <protection hidden="1"/>
    </xf>
    <xf numFmtId="164" fontId="43" fillId="0" borderId="22" xfId="5" applyFont="1" applyFill="1" applyBorder="1" applyAlignment="1" applyProtection="1">
      <alignment horizontal="center" vertical="center"/>
      <protection hidden="1"/>
    </xf>
    <xf numFmtId="166" fontId="43" fillId="0" borderId="20" xfId="0" applyNumberFormat="1" applyFont="1" applyBorder="1" applyAlignment="1" applyProtection="1">
      <alignment horizontal="center" vertical="center"/>
      <protection hidden="1"/>
    </xf>
    <xf numFmtId="167" fontId="14" fillId="10" borderId="53" xfId="0" applyNumberFormat="1" applyFont="1" applyFill="1" applyBorder="1" applyAlignment="1" applyProtection="1">
      <alignment horizontal="center"/>
      <protection hidden="1"/>
    </xf>
    <xf numFmtId="0" fontId="14" fillId="10" borderId="53" xfId="0" applyFont="1" applyFill="1" applyBorder="1" applyAlignment="1" applyProtection="1">
      <alignment horizontal="center" vertical="center"/>
      <protection hidden="1"/>
    </xf>
    <xf numFmtId="164" fontId="14" fillId="10" borderId="53" xfId="5" applyFont="1" applyFill="1" applyBorder="1" applyAlignment="1" applyProtection="1">
      <alignment horizontal="center" vertical="center"/>
      <protection hidden="1"/>
    </xf>
    <xf numFmtId="0" fontId="13" fillId="10" borderId="53" xfId="0" applyFont="1" applyFill="1" applyBorder="1" applyAlignment="1" applyProtection="1">
      <alignment horizontal="center" vertical="center"/>
      <protection hidden="1"/>
    </xf>
    <xf numFmtId="166" fontId="14" fillId="10" borderId="53" xfId="0" applyNumberFormat="1" applyFont="1" applyFill="1" applyBorder="1" applyAlignment="1" applyProtection="1">
      <alignment horizontal="center" vertical="center"/>
      <protection hidden="1"/>
    </xf>
    <xf numFmtId="0" fontId="50" fillId="10" borderId="32" xfId="0" applyFont="1" applyFill="1" applyBorder="1" applyAlignment="1" applyProtection="1">
      <alignment horizontal="right"/>
      <protection hidden="1"/>
    </xf>
    <xf numFmtId="40" fontId="37" fillId="11" borderId="58" xfId="0" applyNumberFormat="1" applyFont="1" applyFill="1" applyBorder="1" applyProtection="1">
      <protection hidden="1"/>
    </xf>
    <xf numFmtId="40" fontId="51" fillId="11" borderId="64" xfId="0" applyNumberFormat="1" applyFont="1" applyFill="1" applyBorder="1" applyProtection="1">
      <protection hidden="1"/>
    </xf>
    <xf numFmtId="16" fontId="39" fillId="10" borderId="0" xfId="0" applyNumberFormat="1" applyFont="1" applyFill="1" applyProtection="1">
      <protection hidden="1"/>
    </xf>
    <xf numFmtId="0" fontId="14" fillId="10" borderId="0" xfId="0" applyFont="1" applyFill="1" applyAlignment="1" applyProtection="1">
      <alignment horizontal="center" vertical="center"/>
      <protection hidden="1"/>
    </xf>
    <xf numFmtId="164" fontId="14" fillId="10" borderId="0" xfId="5" applyFont="1" applyFill="1" applyBorder="1" applyAlignment="1" applyProtection="1">
      <alignment horizontal="center" vertical="center"/>
      <protection hidden="1"/>
    </xf>
    <xf numFmtId="0" fontId="13" fillId="10" borderId="0" xfId="0" applyFont="1" applyFill="1" applyAlignment="1" applyProtection="1">
      <alignment horizontal="center" vertical="center"/>
      <protection hidden="1"/>
    </xf>
    <xf numFmtId="14" fontId="14" fillId="10" borderId="0" xfId="0" applyNumberFormat="1" applyFont="1" applyFill="1" applyAlignment="1" applyProtection="1">
      <alignment horizontal="center" vertical="center"/>
      <protection hidden="1"/>
    </xf>
    <xf numFmtId="0" fontId="50" fillId="10" borderId="10" xfId="0" applyFont="1" applyFill="1" applyBorder="1" applyAlignment="1" applyProtection="1">
      <alignment horizontal="right"/>
      <protection hidden="1"/>
    </xf>
    <xf numFmtId="40" fontId="51" fillId="0" borderId="55" xfId="0" applyNumberFormat="1" applyFont="1" applyBorder="1" applyAlignment="1" applyProtection="1">
      <alignment horizontal="center" vertical="center"/>
      <protection hidden="1"/>
    </xf>
    <xf numFmtId="0" fontId="0" fillId="10" borderId="0" xfId="0" applyFill="1" applyAlignment="1" applyProtection="1">
      <alignment horizontal="right" vertical="top"/>
      <protection hidden="1"/>
    </xf>
    <xf numFmtId="167" fontId="13" fillId="10" borderId="0" xfId="0" applyNumberFormat="1" applyFont="1" applyFill="1" applyAlignment="1" applyProtection="1">
      <alignment horizontal="center"/>
      <protection hidden="1"/>
    </xf>
    <xf numFmtId="164" fontId="13" fillId="10" borderId="0" xfId="5" applyFont="1" applyFill="1" applyBorder="1" applyAlignment="1" applyProtection="1">
      <alignment horizontal="center" vertical="center"/>
      <protection hidden="1"/>
    </xf>
    <xf numFmtId="14" fontId="13" fillId="10" borderId="0" xfId="0" applyNumberFormat="1" applyFont="1" applyFill="1" applyAlignment="1" applyProtection="1">
      <alignment horizontal="center" vertical="center"/>
      <protection hidden="1"/>
    </xf>
    <xf numFmtId="40" fontId="51" fillId="0" borderId="64" xfId="0" applyNumberFormat="1" applyFont="1" applyBorder="1" applyAlignment="1" applyProtection="1">
      <alignment horizontal="center" vertical="center"/>
      <protection hidden="1"/>
    </xf>
    <xf numFmtId="167" fontId="14" fillId="10" borderId="0" xfId="0" applyNumberFormat="1" applyFont="1" applyFill="1" applyAlignment="1" applyProtection="1">
      <alignment horizontal="center"/>
      <protection hidden="1"/>
    </xf>
    <xf numFmtId="0" fontId="0" fillId="10" borderId="0" xfId="0" applyFill="1" applyAlignment="1" applyProtection="1">
      <alignment horizontal="left" vertical="top"/>
      <protection hidden="1"/>
    </xf>
    <xf numFmtId="0" fontId="62" fillId="3" borderId="82" xfId="0" applyFont="1" applyFill="1" applyBorder="1" applyAlignment="1" applyProtection="1">
      <alignment vertical="top"/>
      <protection locked="0"/>
    </xf>
    <xf numFmtId="0" fontId="10" fillId="15" borderId="7" xfId="0" applyFont="1" applyFill="1" applyBorder="1" applyAlignment="1" applyProtection="1">
      <alignment horizontal="left"/>
      <protection hidden="1"/>
    </xf>
    <xf numFmtId="0" fontId="10" fillId="15" borderId="23" xfId="0" applyFont="1" applyFill="1" applyBorder="1" applyAlignment="1" applyProtection="1">
      <alignment horizontal="left"/>
      <protection hidden="1"/>
    </xf>
    <xf numFmtId="0" fontId="10" fillId="15" borderId="6" xfId="0" applyFont="1" applyFill="1" applyBorder="1" applyAlignment="1" applyProtection="1">
      <alignment horizontal="left"/>
      <protection hidden="1"/>
    </xf>
    <xf numFmtId="0" fontId="10" fillId="15" borderId="8" xfId="0" applyFont="1" applyFill="1" applyBorder="1" applyAlignment="1" applyProtection="1">
      <alignment horizontal="left"/>
      <protection hidden="1"/>
    </xf>
    <xf numFmtId="0" fontId="28" fillId="3" borderId="0" xfId="0" applyFont="1" applyFill="1" applyProtection="1">
      <protection locked="0"/>
    </xf>
    <xf numFmtId="0" fontId="66" fillId="13" borderId="0" xfId="0" applyFont="1" applyFill="1" applyAlignment="1" applyProtection="1">
      <alignment horizontal="center" vertical="center"/>
      <protection hidden="1"/>
    </xf>
    <xf numFmtId="0" fontId="10" fillId="16" borderId="7" xfId="0" applyFont="1" applyFill="1" applyBorder="1" applyAlignment="1">
      <alignment horizontal="left"/>
    </xf>
    <xf numFmtId="0" fontId="10" fillId="16" borderId="83" xfId="0" applyFont="1" applyFill="1" applyBorder="1" applyAlignment="1">
      <alignment horizontal="left"/>
    </xf>
    <xf numFmtId="0" fontId="15" fillId="10" borderId="4" xfId="0" applyFont="1" applyFill="1" applyBorder="1" applyAlignment="1" applyProtection="1">
      <alignment vertical="center" wrapText="1"/>
      <protection hidden="1"/>
    </xf>
    <xf numFmtId="0" fontId="70" fillId="10" borderId="0" xfId="0" applyFont="1" applyFill="1" applyAlignment="1" applyProtection="1">
      <alignment vertical="top"/>
      <protection hidden="1"/>
    </xf>
    <xf numFmtId="0" fontId="64" fillId="14" borderId="11" xfId="8" applyFont="1" applyBorder="1" applyAlignment="1" applyProtection="1">
      <alignment horizontal="center" vertical="center"/>
      <protection hidden="1"/>
    </xf>
    <xf numFmtId="40" fontId="56" fillId="11" borderId="5" xfId="0" applyNumberFormat="1" applyFont="1" applyFill="1" applyBorder="1" applyProtection="1">
      <protection hidden="1"/>
    </xf>
    <xf numFmtId="0" fontId="64" fillId="10" borderId="11" xfId="8" applyFont="1" applyFill="1" applyBorder="1" applyAlignment="1" applyProtection="1">
      <alignment horizontal="center" vertical="center"/>
      <protection hidden="1"/>
    </xf>
    <xf numFmtId="9" fontId="74" fillId="14" borderId="0" xfId="11" applyFont="1" applyFill="1" applyAlignment="1" applyProtection="1">
      <alignment horizontal="center" vertical="center"/>
      <protection hidden="1"/>
    </xf>
    <xf numFmtId="0" fontId="76" fillId="10" borderId="0" xfId="0" applyFont="1" applyFill="1" applyAlignment="1" applyProtection="1">
      <alignment vertical="center" wrapText="1"/>
      <protection hidden="1"/>
    </xf>
    <xf numFmtId="0" fontId="39" fillId="10" borderId="0" xfId="0" applyFont="1" applyFill="1" applyProtection="1">
      <protection hidden="1"/>
    </xf>
    <xf numFmtId="167" fontId="77" fillId="10" borderId="0" xfId="0" applyNumberFormat="1" applyFont="1" applyFill="1" applyAlignment="1" applyProtection="1">
      <alignment horizontal="center"/>
      <protection hidden="1"/>
    </xf>
    <xf numFmtId="0" fontId="47" fillId="3" borderId="0" xfId="0" applyFont="1" applyFill="1" applyAlignment="1">
      <alignment horizontal="center" vertical="center"/>
    </xf>
    <xf numFmtId="0" fontId="22" fillId="6" borderId="61" xfId="0" applyFont="1" applyFill="1" applyBorder="1" applyAlignment="1">
      <alignment horizontal="center" vertical="center"/>
    </xf>
    <xf numFmtId="0" fontId="49" fillId="7" borderId="0" xfId="0" applyFont="1" applyFill="1" applyAlignment="1">
      <alignment horizontal="center" vertical="center"/>
    </xf>
    <xf numFmtId="0" fontId="62" fillId="3" borderId="0" xfId="0" applyFont="1" applyFill="1" applyAlignment="1">
      <alignment horizontal="left" vertical="top" wrapText="1"/>
    </xf>
    <xf numFmtId="0" fontId="25" fillId="8" borderId="45" xfId="0" applyFont="1" applyFill="1" applyBorder="1" applyAlignment="1" applyProtection="1">
      <alignment horizontal="center" vertical="center"/>
      <protection locked="0"/>
    </xf>
    <xf numFmtId="0" fontId="6" fillId="2" borderId="0" xfId="0" applyFont="1" applyFill="1"/>
    <xf numFmtId="0" fontId="5" fillId="2" borderId="0" xfId="0" applyFont="1" applyFill="1"/>
    <xf numFmtId="0" fontId="5" fillId="2" borderId="27" xfId="0" applyFont="1" applyFill="1" applyBorder="1"/>
    <xf numFmtId="0" fontId="10" fillId="2" borderId="0" xfId="0" applyFont="1" applyFill="1"/>
    <xf numFmtId="0" fontId="4" fillId="2" borderId="0" xfId="0" applyFont="1" applyFill="1"/>
    <xf numFmtId="0" fontId="7" fillId="3" borderId="0" xfId="0" applyFont="1" applyFill="1" applyAlignment="1">
      <alignment horizontal="center"/>
    </xf>
    <xf numFmtId="40" fontId="51" fillId="4" borderId="63" xfId="0" applyNumberFormat="1" applyFont="1" applyFill="1" applyBorder="1"/>
    <xf numFmtId="0" fontId="4" fillId="9" borderId="0" xfId="0" applyFont="1" applyFill="1"/>
    <xf numFmtId="0" fontId="48" fillId="2" borderId="0" xfId="0" applyFont="1" applyFill="1" applyAlignment="1">
      <alignment horizontal="center" vertical="center"/>
    </xf>
    <xf numFmtId="0" fontId="5" fillId="0" borderId="0" xfId="0" applyFont="1"/>
    <xf numFmtId="0" fontId="49" fillId="3" borderId="0" xfId="0" applyFont="1" applyFill="1" applyAlignment="1">
      <alignment horizontal="center" vertical="center"/>
    </xf>
    <xf numFmtId="0" fontId="0" fillId="3" borderId="0" xfId="0" applyFill="1"/>
    <xf numFmtId="0" fontId="50" fillId="0" borderId="25" xfId="0" applyFont="1" applyBorder="1" applyAlignment="1" applyProtection="1">
      <alignment horizontal="right"/>
      <protection locked="0"/>
    </xf>
    <xf numFmtId="0" fontId="25" fillId="8" borderId="37" xfId="0" applyFont="1" applyFill="1" applyBorder="1" applyAlignment="1" applyProtection="1">
      <alignment horizontal="center" vertical="center"/>
      <protection locked="0"/>
    </xf>
    <xf numFmtId="40" fontId="11" fillId="6" borderId="62" xfId="0" applyNumberFormat="1" applyFont="1" applyFill="1" applyBorder="1" applyAlignment="1" applyProtection="1">
      <alignment horizontal="center"/>
      <protection locked="0"/>
    </xf>
    <xf numFmtId="0" fontId="22" fillId="6" borderId="61"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49" fillId="7" borderId="0" xfId="0" applyFont="1" applyFill="1" applyAlignment="1" applyProtection="1">
      <alignment horizontal="center" vertical="center"/>
      <protection locked="0"/>
    </xf>
    <xf numFmtId="0" fontId="10" fillId="7" borderId="8" xfId="0" applyFont="1" applyFill="1" applyBorder="1" applyAlignment="1" applyProtection="1">
      <alignment horizontal="left"/>
      <protection locked="0"/>
    </xf>
    <xf numFmtId="0" fontId="50" fillId="0" borderId="32" xfId="0" applyFont="1" applyBorder="1" applyAlignment="1" applyProtection="1">
      <alignment horizontal="right"/>
      <protection locked="0"/>
    </xf>
    <xf numFmtId="0" fontId="0" fillId="2" borderId="0" xfId="0" applyFill="1" applyAlignment="1">
      <alignment horizontal="left" vertical="top"/>
    </xf>
    <xf numFmtId="0" fontId="49" fillId="2" borderId="0" xfId="0" applyFont="1" applyFill="1" applyAlignment="1">
      <alignment horizontal="center" vertical="center"/>
    </xf>
    <xf numFmtId="0" fontId="45" fillId="2" borderId="0" xfId="0" applyFont="1" applyFill="1" applyAlignment="1">
      <alignment horizontal="left" vertical="top" indent="2"/>
    </xf>
    <xf numFmtId="0" fontId="0" fillId="3" borderId="0" xfId="0" applyFill="1" applyAlignment="1">
      <alignment horizontal="left" vertical="top"/>
    </xf>
    <xf numFmtId="0" fontId="9" fillId="3" borderId="0" xfId="0" applyFont="1" applyFill="1" applyAlignment="1">
      <alignment horizontal="left" vertical="top"/>
    </xf>
    <xf numFmtId="0" fontId="27" fillId="8" borderId="0" xfId="0" applyFont="1" applyFill="1" applyAlignment="1" applyProtection="1">
      <alignment vertical="center" wrapText="1"/>
      <protection locked="0"/>
    </xf>
    <xf numFmtId="0" fontId="31" fillId="7" borderId="45" xfId="0" applyFont="1" applyFill="1" applyBorder="1" applyAlignment="1" applyProtection="1">
      <alignment horizontal="left" vertical="center" wrapText="1" indent="1"/>
      <protection locked="0"/>
    </xf>
    <xf numFmtId="0" fontId="26" fillId="8" borderId="0" xfId="0" applyFont="1" applyFill="1" applyAlignment="1" applyProtection="1">
      <alignment vertical="center" wrapText="1"/>
      <protection locked="0"/>
    </xf>
    <xf numFmtId="0" fontId="80" fillId="2" borderId="0" xfId="0" applyFont="1" applyFill="1" applyAlignment="1">
      <alignment horizontal="center" vertical="top" wrapText="1"/>
    </xf>
    <xf numFmtId="0" fontId="1" fillId="2" borderId="0" xfId="0" applyFont="1" applyFill="1" applyAlignment="1">
      <alignment horizontal="center" vertical="top" wrapText="1"/>
    </xf>
    <xf numFmtId="0" fontId="82" fillId="3" borderId="45" xfId="0" applyFont="1" applyFill="1" applyBorder="1" applyAlignment="1" applyProtection="1">
      <alignment horizontal="left" vertical="center" wrapText="1" indent="1"/>
      <protection locked="0"/>
    </xf>
    <xf numFmtId="167" fontId="21" fillId="6" borderId="7" xfId="0" applyNumberFormat="1" applyFont="1" applyFill="1" applyBorder="1" applyAlignment="1">
      <alignment horizontal="center"/>
    </xf>
    <xf numFmtId="0" fontId="21" fillId="6" borderId="7" xfId="0" applyFont="1" applyFill="1" applyBorder="1" applyAlignment="1">
      <alignment horizontal="center"/>
    </xf>
    <xf numFmtId="164" fontId="21" fillId="6" borderId="7" xfId="5" applyFont="1" applyFill="1" applyBorder="1" applyAlignment="1" applyProtection="1">
      <alignment horizontal="center"/>
    </xf>
    <xf numFmtId="40" fontId="14" fillId="0" borderId="0" xfId="0" applyNumberFormat="1" applyFont="1" applyAlignment="1">
      <alignment horizontal="center" vertical="center" wrapText="1"/>
    </xf>
    <xf numFmtId="0" fontId="13" fillId="0" borderId="10" xfId="0" applyFont="1" applyBorder="1" applyAlignment="1">
      <alignment horizontal="center" vertical="center"/>
    </xf>
    <xf numFmtId="164" fontId="14" fillId="0" borderId="10" xfId="5" applyFont="1" applyFill="1" applyBorder="1" applyAlignment="1" applyProtection="1">
      <alignment horizontal="center" vertical="center"/>
    </xf>
    <xf numFmtId="0" fontId="14" fillId="0" borderId="10" xfId="0" applyFont="1" applyBorder="1" applyAlignment="1">
      <alignment horizontal="center" vertical="center"/>
    </xf>
    <xf numFmtId="166" fontId="14" fillId="0" borderId="2" xfId="0" applyNumberFormat="1" applyFont="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xf>
    <xf numFmtId="164" fontId="13" fillId="0" borderId="0" xfId="5" applyFont="1" applyFill="1" applyBorder="1" applyAlignment="1" applyProtection="1">
      <alignment horizontal="center" vertical="center"/>
    </xf>
    <xf numFmtId="0" fontId="13" fillId="0" borderId="0" xfId="0" applyFont="1" applyAlignment="1">
      <alignment horizontal="center" vertical="center"/>
    </xf>
    <xf numFmtId="166" fontId="14" fillId="0" borderId="4" xfId="0" applyNumberFormat="1" applyFont="1" applyBorder="1" applyAlignment="1">
      <alignment horizontal="center" vertical="center"/>
    </xf>
    <xf numFmtId="0" fontId="14" fillId="0" borderId="0" xfId="0" applyFont="1" applyAlignment="1">
      <alignment horizontal="center" vertical="center" wrapText="1"/>
    </xf>
    <xf numFmtId="164" fontId="14" fillId="0" borderId="0" xfId="5" applyFont="1" applyFill="1" applyBorder="1" applyAlignment="1" applyProtection="1">
      <alignment horizontal="center" vertical="center"/>
    </xf>
    <xf numFmtId="0" fontId="42" fillId="0" borderId="0" xfId="0" applyFont="1" applyAlignment="1">
      <alignment horizontal="center" vertical="center" wrapText="1"/>
    </xf>
    <xf numFmtId="40" fontId="42" fillId="0" borderId="0" xfId="0" applyNumberFormat="1" applyFont="1" applyAlignment="1">
      <alignment horizontal="center" vertical="center" wrapText="1"/>
    </xf>
    <xf numFmtId="166" fontId="13" fillId="0" borderId="4" xfId="0" applyNumberFormat="1" applyFont="1" applyBorder="1" applyAlignment="1">
      <alignment horizontal="center" vertical="center"/>
    </xf>
    <xf numFmtId="14" fontId="14" fillId="0" borderId="1" xfId="0" applyNumberFormat="1" applyFont="1" applyBorder="1" applyAlignment="1">
      <alignment horizontal="center"/>
    </xf>
    <xf numFmtId="14" fontId="14" fillId="0" borderId="3" xfId="0" applyNumberFormat="1" applyFont="1" applyBorder="1" applyAlignment="1">
      <alignment horizontal="center"/>
    </xf>
    <xf numFmtId="14" fontId="13" fillId="0" borderId="3" xfId="0" applyNumberFormat="1" applyFont="1" applyBorder="1" applyAlignment="1">
      <alignment horizontal="center"/>
    </xf>
    <xf numFmtId="14" fontId="43" fillId="0" borderId="72" xfId="0" applyNumberFormat="1" applyFont="1" applyBorder="1" applyAlignment="1" applyProtection="1">
      <alignment horizontal="center"/>
      <protection locked="0"/>
    </xf>
    <xf numFmtId="14" fontId="43" fillId="0" borderId="75" xfId="0" applyNumberFormat="1" applyFont="1" applyBorder="1" applyAlignment="1" applyProtection="1">
      <alignment horizontal="center"/>
      <protection locked="0"/>
    </xf>
    <xf numFmtId="14" fontId="43" fillId="0" borderId="77" xfId="0" applyNumberFormat="1" applyFont="1" applyBorder="1" applyAlignment="1" applyProtection="1">
      <alignment horizontal="center"/>
      <protection locked="0"/>
    </xf>
    <xf numFmtId="0" fontId="47" fillId="3" borderId="0" xfId="0" applyFont="1" applyFill="1" applyAlignment="1" applyProtection="1">
      <alignment horizontal="center" vertical="center"/>
      <protection locked="0"/>
    </xf>
    <xf numFmtId="0" fontId="22" fillId="6" borderId="12" xfId="0" applyFont="1" applyFill="1" applyBorder="1" applyAlignment="1" applyProtection="1">
      <alignment horizontal="center" vertical="center" wrapText="1"/>
      <protection locked="0"/>
    </xf>
    <xf numFmtId="0" fontId="22" fillId="6" borderId="8" xfId="0" applyFont="1" applyFill="1" applyBorder="1" applyAlignment="1" applyProtection="1">
      <alignment horizontal="center" vertical="center" wrapText="1"/>
      <protection locked="0"/>
    </xf>
    <xf numFmtId="0" fontId="22" fillId="6" borderId="60" xfId="0" applyFont="1" applyFill="1" applyBorder="1" applyAlignment="1" applyProtection="1">
      <alignment horizontal="center" vertical="center"/>
      <protection locked="0"/>
    </xf>
    <xf numFmtId="0" fontId="22" fillId="6" borderId="61" xfId="0" applyFont="1" applyFill="1" applyBorder="1" applyAlignment="1" applyProtection="1">
      <alignment horizontal="center" vertical="center"/>
      <protection locked="0"/>
    </xf>
    <xf numFmtId="0" fontId="22" fillId="6" borderId="66"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82" fillId="3" borderId="49" xfId="0" applyFont="1" applyFill="1" applyBorder="1" applyAlignment="1" applyProtection="1">
      <alignment horizontal="left" vertical="center" wrapText="1" indent="1"/>
      <protection locked="0"/>
    </xf>
    <xf numFmtId="0" fontId="82" fillId="3" borderId="50" xfId="0" applyFont="1" applyFill="1" applyBorder="1" applyAlignment="1" applyProtection="1">
      <alignment horizontal="left" vertical="center" wrapText="1" indent="1"/>
      <protection locked="0"/>
    </xf>
    <xf numFmtId="0" fontId="82" fillId="3" borderId="88" xfId="0" applyFont="1" applyFill="1" applyBorder="1" applyAlignment="1" applyProtection="1">
      <alignment horizontal="left" vertical="center" wrapText="1" indent="1"/>
      <protection locked="0"/>
    </xf>
    <xf numFmtId="0" fontId="22" fillId="6" borderId="60" xfId="0" applyFont="1" applyFill="1" applyBorder="1" applyAlignment="1">
      <alignment horizontal="center" vertical="center"/>
    </xf>
    <xf numFmtId="0" fontId="22" fillId="6" borderId="61" xfId="0" applyFont="1" applyFill="1" applyBorder="1" applyAlignment="1">
      <alignment horizontal="center" vertical="center"/>
    </xf>
    <xf numFmtId="0" fontId="22" fillId="6" borderId="62" xfId="0" applyFont="1" applyFill="1" applyBorder="1" applyAlignment="1">
      <alignment horizontal="center" vertical="center"/>
    </xf>
    <xf numFmtId="0" fontId="0" fillId="2" borderId="32" xfId="0" applyFill="1" applyBorder="1" applyAlignment="1">
      <alignment horizontal="right" vertical="top" wrapText="1"/>
    </xf>
    <xf numFmtId="0" fontId="0" fillId="2" borderId="0" xfId="0" applyFill="1" applyAlignment="1">
      <alignment horizontal="right" vertical="top" wrapText="1"/>
    </xf>
    <xf numFmtId="0" fontId="7" fillId="6" borderId="46" xfId="0" applyFont="1" applyFill="1" applyBorder="1" applyAlignment="1" applyProtection="1">
      <alignment horizontal="center"/>
      <protection locked="0"/>
    </xf>
    <xf numFmtId="0" fontId="7" fillId="6" borderId="47" xfId="0" applyFont="1" applyFill="1" applyBorder="1" applyAlignment="1" applyProtection="1">
      <alignment horizontal="center"/>
      <protection locked="0"/>
    </xf>
    <xf numFmtId="0" fontId="7" fillId="6" borderId="48" xfId="0" applyFont="1" applyFill="1" applyBorder="1" applyAlignment="1" applyProtection="1">
      <alignment horizontal="center"/>
      <protection locked="0"/>
    </xf>
    <xf numFmtId="0" fontId="16" fillId="2" borderId="0" xfId="0" applyFont="1" applyFill="1" applyAlignment="1" applyProtection="1">
      <alignment horizontal="center" vertical="center" textRotation="90"/>
      <protection locked="0"/>
    </xf>
    <xf numFmtId="0" fontId="0" fillId="0" borderId="0" xfId="0" applyAlignment="1" applyProtection="1">
      <alignment horizontal="center" vertical="center" textRotation="90"/>
      <protection locked="0"/>
    </xf>
    <xf numFmtId="0" fontId="62" fillId="3" borderId="0" xfId="0" applyFont="1" applyFill="1" applyAlignment="1" applyProtection="1">
      <alignment horizontal="left" vertical="top" wrapText="1"/>
      <protection locked="0"/>
    </xf>
    <xf numFmtId="0" fontId="82" fillId="3" borderId="49" xfId="0" applyFont="1" applyFill="1" applyBorder="1" applyAlignment="1" applyProtection="1">
      <alignment horizontal="left" vertical="center" wrapText="1"/>
      <protection locked="0"/>
    </xf>
    <xf numFmtId="0" fontId="82" fillId="3" borderId="88" xfId="0" applyFont="1" applyFill="1" applyBorder="1" applyAlignment="1" applyProtection="1">
      <alignment horizontal="left" vertical="center" wrapText="1"/>
      <protection locked="0"/>
    </xf>
    <xf numFmtId="0" fontId="82" fillId="3" borderId="50" xfId="0" applyFont="1" applyFill="1" applyBorder="1" applyAlignment="1" applyProtection="1">
      <alignment horizontal="left" vertical="center" wrapText="1"/>
      <protection locked="0"/>
    </xf>
    <xf numFmtId="0" fontId="71" fillId="10" borderId="0" xfId="0" applyFont="1" applyFill="1" applyAlignment="1" applyProtection="1">
      <alignment horizontal="center" vertical="center" wrapText="1"/>
      <protection hidden="1"/>
    </xf>
    <xf numFmtId="0" fontId="71" fillId="10" borderId="84" xfId="0" applyFont="1" applyFill="1" applyBorder="1" applyAlignment="1" applyProtection="1">
      <alignment horizontal="left" vertical="center" wrapText="1" indent="2"/>
      <protection hidden="1"/>
    </xf>
    <xf numFmtId="0" fontId="71" fillId="10" borderId="0" xfId="0" applyFont="1" applyFill="1" applyAlignment="1" applyProtection="1">
      <alignment horizontal="left" vertical="center" wrapText="1" indent="2"/>
      <protection hidden="1"/>
    </xf>
    <xf numFmtId="0" fontId="70" fillId="10" borderId="0" xfId="0" applyFont="1" applyFill="1" applyAlignment="1" applyProtection="1">
      <alignment horizontal="center" vertical="top" wrapText="1"/>
      <protection hidden="1"/>
    </xf>
    <xf numFmtId="0" fontId="53" fillId="6" borderId="60" xfId="0" applyFont="1" applyFill="1" applyBorder="1" applyAlignment="1" applyProtection="1">
      <alignment horizontal="center"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55" fillId="6" borderId="46" xfId="0" applyFont="1" applyFill="1" applyBorder="1" applyAlignment="1" applyProtection="1">
      <alignment horizontal="center"/>
      <protection hidden="1"/>
    </xf>
    <xf numFmtId="0" fontId="55" fillId="6" borderId="47" xfId="0" applyFont="1" applyFill="1" applyBorder="1" applyAlignment="1" applyProtection="1">
      <alignment horizontal="center"/>
      <protection hidden="1"/>
    </xf>
    <xf numFmtId="0" fontId="55" fillId="6" borderId="48" xfId="0" applyFont="1" applyFill="1" applyBorder="1" applyAlignment="1" applyProtection="1">
      <alignment horizontal="center"/>
      <protection hidden="1"/>
    </xf>
    <xf numFmtId="0" fontId="22" fillId="6" borderId="12" xfId="0" applyFont="1" applyFill="1" applyBorder="1" applyAlignment="1" applyProtection="1">
      <alignment horizontal="center" vertical="center" wrapText="1"/>
      <protection hidden="1"/>
    </xf>
    <xf numFmtId="0" fontId="22" fillId="6" borderId="8" xfId="0" applyFont="1" applyFill="1" applyBorder="1" applyAlignment="1" applyProtection="1">
      <alignment horizontal="center" vertical="center" wrapText="1"/>
      <protection hidden="1"/>
    </xf>
    <xf numFmtId="0" fontId="22" fillId="6" borderId="70" xfId="0" applyFont="1" applyFill="1" applyBorder="1" applyAlignment="1" applyProtection="1">
      <alignment horizontal="center" vertical="center"/>
      <protection hidden="1"/>
    </xf>
    <xf numFmtId="0" fontId="22" fillId="6" borderId="71" xfId="0" applyFont="1" applyFill="1" applyBorder="1" applyAlignment="1" applyProtection="1">
      <alignment horizontal="center" vertical="center"/>
      <protection hidden="1"/>
    </xf>
    <xf numFmtId="0" fontId="53" fillId="6" borderId="12" xfId="0" applyFont="1" applyFill="1" applyBorder="1" applyAlignment="1" applyProtection="1">
      <alignment horizontal="center" vertical="center" wrapText="1"/>
      <protection hidden="1"/>
    </xf>
    <xf numFmtId="0" fontId="53" fillId="6" borderId="8" xfId="0" applyFont="1" applyFill="1" applyBorder="1" applyAlignment="1" applyProtection="1">
      <alignment horizontal="center" vertical="center" wrapText="1"/>
      <protection hidden="1"/>
    </xf>
    <xf numFmtId="0" fontId="73" fillId="14" borderId="0" xfId="8" applyFont="1" applyBorder="1" applyAlignment="1" applyProtection="1">
      <alignment horizontal="center" vertical="center"/>
      <protection hidden="1"/>
    </xf>
    <xf numFmtId="0" fontId="73" fillId="14" borderId="11" xfId="8" applyFont="1" applyBorder="1" applyAlignment="1" applyProtection="1">
      <alignment horizontal="center" vertical="center"/>
      <protection hidden="1"/>
    </xf>
    <xf numFmtId="9" fontId="22" fillId="6" borderId="0" xfId="0" applyNumberFormat="1" applyFont="1" applyFill="1" applyAlignment="1" applyProtection="1">
      <alignment horizontal="center" vertical="center" wrapText="1"/>
      <protection hidden="1"/>
    </xf>
    <xf numFmtId="0" fontId="22" fillId="6" borderId="0" xfId="0" applyFont="1" applyFill="1" applyAlignment="1" applyProtection="1">
      <alignment horizontal="center" vertical="center"/>
      <protection hidden="1"/>
    </xf>
    <xf numFmtId="0" fontId="60" fillId="12" borderId="85" xfId="7" applyFont="1" applyBorder="1" applyAlignment="1" applyProtection="1">
      <alignment horizontal="left" vertical="top" wrapText="1" indent="1"/>
      <protection hidden="1"/>
    </xf>
    <xf numFmtId="0" fontId="60" fillId="12" borderId="86" xfId="7" applyFont="1" applyBorder="1" applyAlignment="1" applyProtection="1">
      <alignment horizontal="left" vertical="top" wrapText="1" indent="1"/>
      <protection hidden="1"/>
    </xf>
    <xf numFmtId="0" fontId="60" fillId="12" borderId="87" xfId="7" applyFont="1" applyBorder="1" applyAlignment="1" applyProtection="1">
      <alignment horizontal="left" vertical="top" wrapText="1" indent="1"/>
      <protection hidden="1"/>
    </xf>
    <xf numFmtId="0" fontId="63" fillId="10" borderId="0" xfId="0" applyFont="1" applyFill="1" applyAlignment="1" applyProtection="1">
      <alignment horizontal="center" vertical="center"/>
      <protection hidden="1"/>
    </xf>
    <xf numFmtId="0" fontId="63" fillId="10" borderId="11" xfId="0" applyFont="1" applyFill="1" applyBorder="1" applyAlignment="1" applyProtection="1">
      <alignment horizontal="center" vertical="center"/>
      <protection hidden="1"/>
    </xf>
    <xf numFmtId="1" fontId="65" fillId="14" borderId="10" xfId="6" applyNumberFormat="1" applyFont="1" applyFill="1" applyBorder="1" applyAlignment="1" applyProtection="1">
      <alignment horizontal="center" vertical="center"/>
      <protection hidden="1"/>
    </xf>
    <xf numFmtId="1" fontId="65" fillId="14" borderId="0" xfId="6" applyNumberFormat="1" applyFont="1" applyFill="1" applyAlignment="1" applyProtection="1">
      <alignment horizontal="center" vertical="center"/>
      <protection hidden="1"/>
    </xf>
    <xf numFmtId="0" fontId="73" fillId="14" borderId="0" xfId="8" applyFont="1" applyBorder="1" applyAlignment="1" applyProtection="1">
      <alignment horizontal="center" vertical="center" wrapText="1"/>
      <protection hidden="1"/>
    </xf>
    <xf numFmtId="0" fontId="73" fillId="14" borderId="11" xfId="8" applyFont="1" applyBorder="1" applyAlignment="1" applyProtection="1">
      <alignment horizontal="center" vertical="center" wrapText="1"/>
      <protection hidden="1"/>
    </xf>
    <xf numFmtId="0" fontId="72" fillId="14" borderId="0" xfId="8" applyFont="1" applyAlignment="1" applyProtection="1">
      <alignment horizontal="center" vertical="center"/>
      <protection hidden="1"/>
    </xf>
    <xf numFmtId="0" fontId="0" fillId="0" borderId="0" xfId="0" applyAlignment="1">
      <alignment horizontal="center" vertical="center" textRotation="90"/>
    </xf>
  </cellXfs>
  <cellStyles count="12">
    <cellStyle name="Comma" xfId="6" builtinId="3"/>
    <cellStyle name="Currency" xfId="5" builtinId="4"/>
    <cellStyle name="Followed Hyperlink" xfId="4" builtinId="9" hidden="1"/>
    <cellStyle name="Followed Hyperlink" xfId="10" builtinId="9" hidden="1"/>
    <cellStyle name="Good" xfId="8" builtinId="26"/>
    <cellStyle name="Hyperlink" xfId="3" builtinId="8" hidden="1"/>
    <cellStyle name="Hyperlink" xfId="9" builtinId="8" hidden="1"/>
    <cellStyle name="Neutral" xfId="7" builtinId="28"/>
    <cellStyle name="Normal" xfId="0" builtinId="0"/>
    <cellStyle name="Normal 2" xfId="1" xr:uid="{00000000-0005-0000-0000-000009000000}"/>
    <cellStyle name="Normal 2 2" xfId="2" xr:uid="{00000000-0005-0000-0000-00000A000000}"/>
    <cellStyle name="Percent" xfId="11" builtinId="5"/>
  </cellStyles>
  <dxfs count="41">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fgColor auto="1"/>
          <bgColor rgb="FFFFF6C3"/>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9C0006"/>
      <color rgb="FFFFF6C3"/>
      <color rgb="FF7B8A49"/>
      <color rgb="FF009CD0"/>
      <color rgb="FF9F9F9F"/>
      <color rgb="FF9CD000"/>
      <color rgb="FFF9F263"/>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444500</xdr:colOff>
      <xdr:row>33</xdr:row>
      <xdr:rowOff>301625</xdr:rowOff>
    </xdr:from>
    <xdr:to>
      <xdr:col>19</xdr:col>
      <xdr:colOff>2854325</xdr:colOff>
      <xdr:row>48</xdr:row>
      <xdr:rowOff>38916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74500" y="12096750"/>
          <a:ext cx="4648200" cy="5791200"/>
        </a:xfrm>
        <a:prstGeom prst="rect">
          <a:avLst/>
        </a:prstGeom>
      </xdr:spPr>
    </xdr:pic>
    <xdr:clientData/>
  </xdr:twoCellAnchor>
  <xdr:twoCellAnchor>
    <xdr:from>
      <xdr:col>3</xdr:col>
      <xdr:colOff>27215</xdr:colOff>
      <xdr:row>27</xdr:row>
      <xdr:rowOff>258537</xdr:rowOff>
    </xdr:from>
    <xdr:to>
      <xdr:col>4</xdr:col>
      <xdr:colOff>1</xdr:colOff>
      <xdr:row>44</xdr:row>
      <xdr:rowOff>190501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51215" y="11797394"/>
          <a:ext cx="5157107" cy="66402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6">
                  <a:lumMod val="75000"/>
                </a:schemeClr>
              </a:solidFill>
              <a:effectLst/>
              <a:latin typeface="+mn-lt"/>
              <a:ea typeface="+mn-ea"/>
              <a:cs typeface="+mn-cs"/>
            </a:rPr>
            <a:t>Text box for Part #5</a:t>
          </a:r>
        </a:p>
        <a:p>
          <a:r>
            <a:rPr lang="en-US" sz="2000" b="1">
              <a:solidFill>
                <a:schemeClr val="accent6">
                  <a:lumMod val="75000"/>
                </a:schemeClr>
              </a:solidFill>
              <a:effectLst/>
              <a:latin typeface="+mn-lt"/>
              <a:ea typeface="+mn-ea"/>
              <a:cs typeface="+mn-cs"/>
            </a:rPr>
            <a:t>Explain your Monthly Budget</a:t>
          </a:r>
          <a:r>
            <a:rPr lang="en-US" sz="2000" b="1" baseline="0">
              <a:solidFill>
                <a:schemeClr val="accent6">
                  <a:lumMod val="75000"/>
                </a:schemeClr>
              </a:solidFill>
              <a:effectLst/>
              <a:latin typeface="+mn-lt"/>
              <a:ea typeface="+mn-ea"/>
              <a:cs typeface="+mn-cs"/>
            </a:rPr>
            <a:t> Goals for Juan here...</a:t>
          </a:r>
        </a:p>
        <a:p>
          <a:endParaRPr lang="en-US" sz="3600" b="1">
            <a:solidFill>
              <a:schemeClr val="accent6">
                <a:lumMod val="75000"/>
              </a:schemeClr>
            </a:solidFill>
            <a:effectLst/>
          </a:endParaRPr>
        </a:p>
      </xdr:txBody>
    </xdr:sp>
    <xdr:clientData/>
  </xdr:twoCellAnchor>
  <xdr:twoCellAnchor editAs="oneCell">
    <xdr:from>
      <xdr:col>14</xdr:col>
      <xdr:colOff>190500</xdr:colOff>
      <xdr:row>34</xdr:row>
      <xdr:rowOff>15875</xdr:rowOff>
    </xdr:from>
    <xdr:to>
      <xdr:col>16</xdr:col>
      <xdr:colOff>1080644</xdr:colOff>
      <xdr:row>48</xdr:row>
      <xdr:rowOff>34217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03750" y="12207875"/>
          <a:ext cx="3858768" cy="5675376"/>
        </a:xfrm>
        <a:prstGeom prst="rect">
          <a:avLst/>
        </a:prstGeom>
      </xdr:spPr>
    </xdr:pic>
    <xdr:clientData/>
  </xdr:twoCellAnchor>
  <xdr:twoCellAnchor editAs="oneCell">
    <xdr:from>
      <xdr:col>16</xdr:col>
      <xdr:colOff>1682750</xdr:colOff>
      <xdr:row>37</xdr:row>
      <xdr:rowOff>0</xdr:rowOff>
    </xdr:from>
    <xdr:to>
      <xdr:col>17</xdr:col>
      <xdr:colOff>947419</xdr:colOff>
      <xdr:row>48</xdr:row>
      <xdr:rowOff>39242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097875" y="15573375"/>
          <a:ext cx="2407919" cy="4498847"/>
        </a:xfrm>
        <a:prstGeom prst="rect">
          <a:avLst/>
        </a:prstGeom>
      </xdr:spPr>
    </xdr:pic>
    <xdr:clientData/>
  </xdr:twoCellAnchor>
  <xdr:twoCellAnchor>
    <xdr:from>
      <xdr:col>6</xdr:col>
      <xdr:colOff>61230</xdr:colOff>
      <xdr:row>41</xdr:row>
      <xdr:rowOff>63498</xdr:rowOff>
    </xdr:from>
    <xdr:to>
      <xdr:col>8</xdr:col>
      <xdr:colOff>2447018</xdr:colOff>
      <xdr:row>43</xdr:row>
      <xdr:rowOff>253998</xdr:rowOff>
    </xdr:to>
    <xdr:sp macro="" textlink="">
      <xdr:nvSpPr>
        <xdr:cNvPr id="10" name="Left Arrow 9">
          <a:extLst>
            <a:ext uri="{FF2B5EF4-FFF2-40B4-BE49-F238E27FC236}">
              <a16:creationId xmlns:a16="http://schemas.microsoft.com/office/drawing/2014/main" id="{00000000-0008-0000-0000-00000A000000}"/>
            </a:ext>
          </a:extLst>
        </xdr:cNvPr>
        <xdr:cNvSpPr/>
      </xdr:nvSpPr>
      <xdr:spPr bwMode="auto">
        <a:xfrm>
          <a:off x="7919355" y="17224373"/>
          <a:ext cx="3227163" cy="984250"/>
        </a:xfrm>
        <a:prstGeom prst="leftArrow">
          <a:avLst/>
        </a:prstGeom>
        <a:solidFill>
          <a:srgbClr val="009CD0"/>
        </a:solidFill>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endParaRPr lang="en-US" sz="1100"/>
        </a:p>
      </xdr:txBody>
    </xdr:sp>
    <xdr:clientData/>
  </xdr:twoCellAnchor>
  <xdr:twoCellAnchor>
    <xdr:from>
      <xdr:col>18</xdr:col>
      <xdr:colOff>609601</xdr:colOff>
      <xdr:row>37</xdr:row>
      <xdr:rowOff>34926</xdr:rowOff>
    </xdr:from>
    <xdr:to>
      <xdr:col>18</xdr:col>
      <xdr:colOff>1485901</xdr:colOff>
      <xdr:row>37</xdr:row>
      <xdr:rowOff>295276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4155401" y="15370176"/>
          <a:ext cx="876300" cy="260350"/>
        </a:xfrm>
        <a:prstGeom prst="rect">
          <a:avLst/>
        </a:prstGeom>
        <a:solidFill>
          <a:srgbClr val="FFF6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latin typeface="Arial" panose="020B0604020202020204" pitchFamily="34" charset="0"/>
              <a:cs typeface="Arial" panose="020B0604020202020204" pitchFamily="34" charset="0"/>
            </a:rPr>
            <a:t>Juan</a:t>
          </a:r>
        </a:p>
      </xdr:txBody>
    </xdr:sp>
    <xdr:clientData/>
  </xdr:twoCellAnchor>
  <xdr:twoCellAnchor>
    <xdr:from>
      <xdr:col>2</xdr:col>
      <xdr:colOff>492128</xdr:colOff>
      <xdr:row>21</xdr:row>
      <xdr:rowOff>383270</xdr:rowOff>
    </xdr:from>
    <xdr:to>
      <xdr:col>3</xdr:col>
      <xdr:colOff>2269</xdr:colOff>
      <xdr:row>23</xdr:row>
      <xdr:rowOff>3</xdr:rowOff>
    </xdr:to>
    <xdr:sp macro="" textlink="">
      <xdr:nvSpPr>
        <xdr:cNvPr id="9" name="Bent Arrow 8">
          <a:extLst>
            <a:ext uri="{FF2B5EF4-FFF2-40B4-BE49-F238E27FC236}">
              <a16:creationId xmlns:a16="http://schemas.microsoft.com/office/drawing/2014/main" id="{00000000-0008-0000-0000-000009000000}"/>
            </a:ext>
          </a:extLst>
        </xdr:cNvPr>
        <xdr:cNvSpPr/>
      </xdr:nvSpPr>
      <xdr:spPr bwMode="auto">
        <a:xfrm rot="16200000" flipH="1">
          <a:off x="943657" y="9304341"/>
          <a:ext cx="397783" cy="729341"/>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0</xdr:colOff>
      <xdr:row>14</xdr:row>
      <xdr:rowOff>0</xdr:rowOff>
    </xdr:from>
    <xdr:to>
      <xdr:col>5</xdr:col>
      <xdr:colOff>544284</xdr:colOff>
      <xdr:row>14</xdr:row>
      <xdr:rowOff>373443</xdr:rowOff>
    </xdr:to>
    <xdr:sp macro="" textlink="">
      <xdr:nvSpPr>
        <xdr:cNvPr id="12" name="Bent Arrow 11">
          <a:extLst>
            <a:ext uri="{FF2B5EF4-FFF2-40B4-BE49-F238E27FC236}">
              <a16:creationId xmlns:a16="http://schemas.microsoft.com/office/drawing/2014/main" id="{00000000-0008-0000-0000-00000C000000}"/>
            </a:ext>
          </a:extLst>
        </xdr:cNvPr>
        <xdr:cNvSpPr/>
      </xdr:nvSpPr>
      <xdr:spPr bwMode="auto">
        <a:xfrm rot="16200000" flipH="1" flipV="1">
          <a:off x="7079491" y="6037794"/>
          <a:ext cx="373443" cy="1115784"/>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421822</xdr:colOff>
      <xdr:row>15</xdr:row>
      <xdr:rowOff>13604</xdr:rowOff>
    </xdr:from>
    <xdr:to>
      <xdr:col>5</xdr:col>
      <xdr:colOff>487588</xdr:colOff>
      <xdr:row>31</xdr:row>
      <xdr:rowOff>258534</xdr:rowOff>
    </xdr:to>
    <xdr:sp macro="" textlink="">
      <xdr:nvSpPr>
        <xdr:cNvPr id="13" name="Bent Arrow 12">
          <a:extLst>
            <a:ext uri="{FF2B5EF4-FFF2-40B4-BE49-F238E27FC236}">
              <a16:creationId xmlns:a16="http://schemas.microsoft.com/office/drawing/2014/main" id="{00000000-0008-0000-0000-00000D000000}"/>
            </a:ext>
          </a:extLst>
        </xdr:cNvPr>
        <xdr:cNvSpPr/>
      </xdr:nvSpPr>
      <xdr:spPr bwMode="auto">
        <a:xfrm flipH="1" flipV="1">
          <a:off x="7130143" y="6817175"/>
          <a:ext cx="637266" cy="6558645"/>
        </a:xfrm>
        <a:prstGeom prst="bentArrow">
          <a:avLst>
            <a:gd name="adj1" fmla="val 21354"/>
            <a:gd name="adj2" fmla="val 35345"/>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2</xdr:col>
      <xdr:colOff>462643</xdr:colOff>
      <xdr:row>23</xdr:row>
      <xdr:rowOff>81643</xdr:rowOff>
    </xdr:from>
    <xdr:to>
      <xdr:col>2</xdr:col>
      <xdr:colOff>1022804</xdr:colOff>
      <xdr:row>47</xdr:row>
      <xdr:rowOff>231321</xdr:rowOff>
    </xdr:to>
    <xdr:sp macro="" textlink="">
      <xdr:nvSpPr>
        <xdr:cNvPr id="14" name="Bent Arrow 13">
          <a:extLst>
            <a:ext uri="{FF2B5EF4-FFF2-40B4-BE49-F238E27FC236}">
              <a16:creationId xmlns:a16="http://schemas.microsoft.com/office/drawing/2014/main" id="{00000000-0008-0000-0000-00000E000000}"/>
            </a:ext>
          </a:extLst>
        </xdr:cNvPr>
        <xdr:cNvSpPr/>
      </xdr:nvSpPr>
      <xdr:spPr bwMode="auto">
        <a:xfrm flipV="1">
          <a:off x="762000" y="10042072"/>
          <a:ext cx="560161" cy="9674678"/>
        </a:xfrm>
        <a:prstGeom prst="bentArrow">
          <a:avLst>
            <a:gd name="adj1" fmla="val 21354"/>
            <a:gd name="adj2" fmla="val 25000"/>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3</xdr:col>
      <xdr:colOff>0</xdr:colOff>
      <xdr:row>45</xdr:row>
      <xdr:rowOff>0</xdr:rowOff>
    </xdr:from>
    <xdr:to>
      <xdr:col>10</xdr:col>
      <xdr:colOff>1670655</xdr:colOff>
      <xdr:row>50</xdr:row>
      <xdr:rowOff>322036</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524000" y="18641786"/>
          <a:ext cx="12910155" cy="25127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6">
                  <a:lumMod val="75000"/>
                </a:schemeClr>
              </a:solidFill>
            </a:rPr>
            <a:t>Text box for Part #6</a:t>
          </a:r>
        </a:p>
        <a:p>
          <a:pPr marL="0" marR="0" lvl="0" indent="0" defTabSz="914400" eaLnBrk="1" fontAlgn="auto" latinLnBrk="0" hangingPunct="1">
            <a:lnSpc>
              <a:spcPct val="100000"/>
            </a:lnSpc>
            <a:spcBef>
              <a:spcPts val="0"/>
            </a:spcBef>
            <a:spcAft>
              <a:spcPts val="0"/>
            </a:spcAft>
            <a:buClrTx/>
            <a:buSzTx/>
            <a:buFontTx/>
            <a:buNone/>
            <a:tabLst/>
            <a:defRPr/>
          </a:pPr>
          <a:r>
            <a:rPr lang="en-US" sz="2000">
              <a:solidFill>
                <a:schemeClr val="accent6">
                  <a:lumMod val="75000"/>
                </a:schemeClr>
              </a:solidFill>
            </a:rPr>
            <a:t>Type your reflection paragraph here...</a:t>
          </a: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solidFill>
              <a:schemeClr val="accent6">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Z1390"/>
  <sheetViews>
    <sheetView tabSelected="1" zoomScale="60" zoomScaleNormal="60" zoomScalePageLayoutView="30" workbookViewId="0"/>
  </sheetViews>
  <sheetFormatPr defaultColWidth="7.5" defaultRowHeight="20.25"/>
  <cols>
    <col min="1" max="2" width="1.875" style="9" customWidth="1"/>
    <col min="3" max="3" width="16" style="9" customWidth="1"/>
    <col min="4" max="4" width="68" style="9" customWidth="1"/>
    <col min="5" max="5" width="7.5" style="9"/>
    <col min="6" max="6" width="8" style="1" customWidth="1"/>
    <col min="7" max="7" width="5.375" style="1" customWidth="1"/>
    <col min="8" max="8" width="5.625" style="1" customWidth="1"/>
    <col min="9" max="9" width="32.875" style="3" customWidth="1"/>
    <col min="10" max="10" width="20" style="3" customWidth="1"/>
    <col min="11" max="11" width="22.625" style="3" customWidth="1"/>
    <col min="12" max="14" width="9.125" style="2" customWidth="1"/>
    <col min="15" max="15" width="11"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34" width="7.5" style="9"/>
    <col min="35" max="35" width="1.375" style="9" customWidth="1"/>
    <col min="36" max="36" width="10.375" style="9" bestFit="1" customWidth="1"/>
    <col min="37" max="124" width="7.5" style="9"/>
    <col min="125" max="125" width="16.5" style="9" customWidth="1"/>
    <col min="126" max="126" width="27.5" style="9" customWidth="1"/>
    <col min="127" max="503" width="7.5" style="9"/>
    <col min="504" max="16384" width="7.5" style="3"/>
  </cols>
  <sheetData>
    <row r="1" spans="1:503">
      <c r="A1" s="85"/>
      <c r="B1" s="85"/>
      <c r="C1" s="85"/>
      <c r="D1" s="85"/>
      <c r="E1" s="85"/>
      <c r="F1" s="86"/>
      <c r="G1" s="86"/>
      <c r="H1" s="86"/>
      <c r="I1" s="85"/>
      <c r="J1" s="85"/>
      <c r="K1" s="85"/>
      <c r="L1" s="307"/>
      <c r="M1" s="307"/>
      <c r="N1" s="307"/>
      <c r="O1" s="87"/>
      <c r="P1" s="88"/>
      <c r="Q1" s="88"/>
      <c r="R1" s="89"/>
      <c r="S1" s="88"/>
      <c r="T1" s="88"/>
      <c r="U1" s="85"/>
      <c r="V1" s="85"/>
      <c r="W1" s="85"/>
      <c r="X1" s="85"/>
      <c r="Y1" s="85"/>
      <c r="Z1" s="85"/>
      <c r="AA1" s="85"/>
      <c r="AB1" s="85"/>
      <c r="AC1" s="85"/>
      <c r="AD1" s="85"/>
      <c r="AE1" s="85"/>
      <c r="AF1" s="85"/>
      <c r="AG1" s="85"/>
      <c r="AH1" s="85"/>
      <c r="AI1" s="85"/>
      <c r="BB1" s="9">
        <v>2</v>
      </c>
      <c r="LL1" s="282">
        <v>0</v>
      </c>
    </row>
    <row r="2" spans="1:503" s="9" customFormat="1" ht="111" customHeight="1" thickBot="1">
      <c r="A2" s="85"/>
      <c r="C2" s="355" t="s">
        <v>142</v>
      </c>
      <c r="D2" s="355"/>
      <c r="E2" s="355"/>
      <c r="F2" s="355"/>
      <c r="G2" s="355"/>
      <c r="H2" s="355"/>
      <c r="I2" s="355"/>
      <c r="J2" s="305"/>
      <c r="K2" s="132"/>
      <c r="L2" s="154"/>
      <c r="M2" s="154"/>
      <c r="N2" s="154"/>
      <c r="U2" s="51"/>
      <c r="V2" s="51"/>
      <c r="W2" s="51"/>
      <c r="X2" s="51"/>
      <c r="Y2" s="51"/>
      <c r="Z2" s="51"/>
      <c r="AA2" s="51"/>
      <c r="AB2" s="51"/>
      <c r="AC2" s="51"/>
      <c r="AD2" s="51"/>
      <c r="AE2" s="51"/>
      <c r="AF2" s="51"/>
      <c r="AG2" s="51"/>
      <c r="AH2" s="51"/>
      <c r="AI2" s="85"/>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21" t="s">
        <v>8</v>
      </c>
      <c r="DV2" s="284" t="s">
        <v>42</v>
      </c>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row>
    <row r="3" spans="1:503" s="9" customFormat="1" ht="31.15" customHeight="1" thickBot="1">
      <c r="A3" s="85"/>
      <c r="C3" s="325" t="s">
        <v>52</v>
      </c>
      <c r="D3" s="326" t="s">
        <v>56</v>
      </c>
      <c r="F3" s="16"/>
      <c r="G3" s="1"/>
      <c r="H3" s="295"/>
      <c r="I3" s="295"/>
      <c r="J3" s="305"/>
      <c r="K3" s="356" t="s">
        <v>123</v>
      </c>
      <c r="L3" s="149" t="s">
        <v>49</v>
      </c>
      <c r="M3" s="154"/>
      <c r="N3" s="154"/>
      <c r="O3" s="370" t="s">
        <v>128</v>
      </c>
      <c r="P3" s="371"/>
      <c r="Q3" s="371"/>
      <c r="R3" s="371"/>
      <c r="S3" s="371"/>
      <c r="T3" s="372"/>
      <c r="U3" s="51"/>
      <c r="V3" s="299" t="s">
        <v>85</v>
      </c>
      <c r="W3" s="370" t="s">
        <v>129</v>
      </c>
      <c r="X3" s="371"/>
      <c r="Y3" s="371"/>
      <c r="Z3" s="371"/>
      <c r="AA3" s="371"/>
      <c r="AB3" s="371"/>
      <c r="AC3" s="371"/>
      <c r="AD3" s="371"/>
      <c r="AE3" s="371"/>
      <c r="AF3" s="371"/>
      <c r="AG3" s="372"/>
      <c r="AH3" s="51"/>
      <c r="AI3" s="85"/>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21" t="s">
        <v>5</v>
      </c>
      <c r="DV3" s="285" t="s">
        <v>79</v>
      </c>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row>
    <row r="4" spans="1:503" ht="31.15" customHeight="1" thickTop="1">
      <c r="A4" s="85"/>
      <c r="F4" s="16"/>
      <c r="H4" s="148" t="s">
        <v>93</v>
      </c>
      <c r="I4" s="147"/>
      <c r="J4" s="296" t="s">
        <v>122</v>
      </c>
      <c r="K4" s="357"/>
      <c r="L4" s="304"/>
      <c r="M4" s="304"/>
      <c r="N4" s="304"/>
      <c r="O4" s="28"/>
      <c r="P4" s="15"/>
      <c r="Q4" s="15"/>
      <c r="R4" s="35"/>
      <c r="S4" s="15"/>
      <c r="T4" s="15"/>
      <c r="W4" s="277"/>
      <c r="X4" s="277"/>
      <c r="Y4" s="277"/>
      <c r="Z4" s="277"/>
      <c r="AA4" s="277"/>
      <c r="AB4" s="277"/>
      <c r="AC4" s="277"/>
      <c r="AD4" s="277"/>
      <c r="AE4" s="277"/>
      <c r="AF4" s="277"/>
      <c r="AG4" s="277"/>
      <c r="AI4" s="85"/>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21" t="s">
        <v>12</v>
      </c>
      <c r="DV4" s="144" t="s">
        <v>40</v>
      </c>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row>
    <row r="5" spans="1:503" ht="31.15" customHeight="1">
      <c r="A5" s="85"/>
      <c r="C5" s="327" t="s">
        <v>53</v>
      </c>
      <c r="D5" s="330" t="s">
        <v>130</v>
      </c>
      <c r="H5" s="301"/>
      <c r="I5" s="144" t="s">
        <v>42</v>
      </c>
      <c r="J5" s="91">
        <f>SUMIF($S$6:$S$52,I5,$R$6:$R$52)</f>
        <v>500</v>
      </c>
      <c r="K5" s="134"/>
      <c r="L5" s="297" t="s">
        <v>92</v>
      </c>
      <c r="M5" s="308"/>
      <c r="N5" s="304"/>
      <c r="O5" s="331" t="s">
        <v>9</v>
      </c>
      <c r="P5" s="332" t="s">
        <v>17</v>
      </c>
      <c r="Q5" s="332" t="s">
        <v>18</v>
      </c>
      <c r="R5" s="333" t="s">
        <v>16</v>
      </c>
      <c r="S5" s="332" t="s">
        <v>10</v>
      </c>
      <c r="T5" s="332" t="s">
        <v>19</v>
      </c>
      <c r="V5" s="375" t="s">
        <v>144</v>
      </c>
      <c r="W5" s="375"/>
      <c r="X5" s="375"/>
      <c r="Y5" s="375"/>
      <c r="Z5" s="375"/>
      <c r="AA5" s="375"/>
      <c r="AB5" s="375"/>
      <c r="AC5" s="375"/>
      <c r="AD5" s="375"/>
      <c r="AE5" s="375"/>
      <c r="AF5" s="375"/>
      <c r="AG5" s="375"/>
      <c r="AI5" s="85"/>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21" t="s">
        <v>38</v>
      </c>
      <c r="DV5" s="144" t="s">
        <v>111</v>
      </c>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row>
    <row r="6" spans="1:503" ht="31.15" customHeight="1" thickBot="1">
      <c r="A6" s="85"/>
      <c r="C6" s="282"/>
      <c r="D6" s="14"/>
      <c r="H6" s="300"/>
      <c r="I6" s="145" t="s">
        <v>79</v>
      </c>
      <c r="J6" s="92">
        <f>SUMIF($S$6:$S$52,I6,$R$6:$R$52)</f>
        <v>50</v>
      </c>
      <c r="K6" s="135"/>
      <c r="L6" s="304"/>
      <c r="M6" s="304"/>
      <c r="N6" s="304"/>
      <c r="O6" s="349">
        <f t="shared" ref="O6:O12" ca="1" si="0">DATE(YEAR(TODAY()),1,3)</f>
        <v>43467</v>
      </c>
      <c r="P6" s="334" t="s">
        <v>31</v>
      </c>
      <c r="Q6" s="335" t="s">
        <v>21</v>
      </c>
      <c r="R6" s="336">
        <v>150.78</v>
      </c>
      <c r="S6" s="337" t="s">
        <v>58</v>
      </c>
      <c r="T6" s="338" t="s">
        <v>38</v>
      </c>
      <c r="U6" s="14"/>
      <c r="V6" s="375"/>
      <c r="W6" s="375"/>
      <c r="X6" s="375"/>
      <c r="Y6" s="375"/>
      <c r="Z6" s="375"/>
      <c r="AA6" s="375"/>
      <c r="AB6" s="375"/>
      <c r="AC6" s="375"/>
      <c r="AD6" s="375"/>
      <c r="AE6" s="375"/>
      <c r="AF6" s="375"/>
      <c r="AG6" s="375"/>
      <c r="AH6" s="14"/>
      <c r="AI6" s="90"/>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21" t="s">
        <v>39</v>
      </c>
      <c r="DV6" s="14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c r="KO6" s="14"/>
      <c r="KP6" s="14"/>
      <c r="KQ6" s="14"/>
      <c r="KR6" s="14"/>
      <c r="KS6" s="14"/>
      <c r="KT6" s="14"/>
      <c r="KU6" s="14"/>
      <c r="KV6" s="14"/>
      <c r="KW6" s="14"/>
      <c r="KX6" s="14"/>
      <c r="KY6" s="14"/>
      <c r="KZ6" s="14"/>
      <c r="LA6" s="14"/>
      <c r="LB6" s="14"/>
    </row>
    <row r="7" spans="1:503" s="4" customFormat="1" ht="31.15" customHeight="1" thickBot="1">
      <c r="A7" s="90"/>
      <c r="B7" s="14"/>
      <c r="C7" s="327" t="s">
        <v>54</v>
      </c>
      <c r="D7" s="362" t="s">
        <v>131</v>
      </c>
      <c r="E7" s="14"/>
      <c r="F7" s="373"/>
      <c r="G7" s="6"/>
      <c r="H7" s="302"/>
      <c r="I7" s="152"/>
      <c r="J7" s="146" t="s">
        <v>97</v>
      </c>
      <c r="K7" s="306">
        <f>SUM(K5:K6)</f>
        <v>0</v>
      </c>
      <c r="L7" s="301"/>
      <c r="M7" s="301"/>
      <c r="N7" s="301"/>
      <c r="O7" s="350">
        <f t="shared" ca="1" si="0"/>
        <v>43467</v>
      </c>
      <c r="P7" s="339" t="s">
        <v>20</v>
      </c>
      <c r="Q7" s="340" t="s">
        <v>22</v>
      </c>
      <c r="R7" s="341">
        <v>975</v>
      </c>
      <c r="S7" s="342" t="s">
        <v>29</v>
      </c>
      <c r="T7" s="343" t="s">
        <v>5</v>
      </c>
      <c r="U7" s="14"/>
      <c r="V7" s="375"/>
      <c r="W7" s="375"/>
      <c r="X7" s="375"/>
      <c r="Y7" s="375"/>
      <c r="Z7" s="375"/>
      <c r="AA7" s="375"/>
      <c r="AB7" s="375"/>
      <c r="AC7" s="375"/>
      <c r="AD7" s="375"/>
      <c r="AE7" s="375"/>
      <c r="AF7" s="375"/>
      <c r="AG7" s="375"/>
      <c r="AH7" s="14"/>
      <c r="AI7" s="90"/>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21" t="s">
        <v>37</v>
      </c>
      <c r="DV7" s="153" t="s">
        <v>7</v>
      </c>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row>
    <row r="8" spans="1:503" s="4" customFormat="1" ht="31.15" customHeight="1" thickTop="1">
      <c r="A8" s="90"/>
      <c r="B8" s="14"/>
      <c r="C8" s="104"/>
      <c r="D8" s="363"/>
      <c r="E8" s="14"/>
      <c r="F8" s="374"/>
      <c r="G8" s="6"/>
      <c r="H8" s="148" t="s">
        <v>91</v>
      </c>
      <c r="I8" s="147"/>
      <c r="J8" s="296" t="s">
        <v>122</v>
      </c>
      <c r="K8" s="142" t="s">
        <v>124</v>
      </c>
      <c r="L8" s="301"/>
      <c r="M8" s="301"/>
      <c r="N8" s="301"/>
      <c r="O8" s="350">
        <f t="shared" ca="1" si="0"/>
        <v>43467</v>
      </c>
      <c r="P8" s="344" t="s">
        <v>73</v>
      </c>
      <c r="Q8" s="340" t="s">
        <v>35</v>
      </c>
      <c r="R8" s="341">
        <v>2150</v>
      </c>
      <c r="S8" s="342" t="s">
        <v>33</v>
      </c>
      <c r="T8" s="343" t="s">
        <v>38</v>
      </c>
      <c r="U8" s="14"/>
      <c r="V8" s="375"/>
      <c r="W8" s="375"/>
      <c r="X8" s="375"/>
      <c r="Y8" s="375"/>
      <c r="Z8" s="375"/>
      <c r="AA8" s="375"/>
      <c r="AB8" s="375"/>
      <c r="AC8" s="375"/>
      <c r="AD8" s="375"/>
      <c r="AE8" s="375"/>
      <c r="AF8" s="375"/>
      <c r="AG8" s="375"/>
      <c r="AH8" s="14"/>
      <c r="AI8" s="90"/>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21"/>
      <c r="DV8" s="153" t="s">
        <v>34</v>
      </c>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row>
    <row r="9" spans="1:503" s="4" customFormat="1" ht="31.15" customHeight="1">
      <c r="A9" s="90"/>
      <c r="B9" s="14"/>
      <c r="C9" s="282"/>
      <c r="D9" s="14"/>
      <c r="E9" s="14"/>
      <c r="F9" s="374"/>
      <c r="G9" s="6"/>
      <c r="H9" s="303"/>
      <c r="I9" s="144" t="s">
        <v>29</v>
      </c>
      <c r="J9" s="91">
        <f>SUMIF($S$6:$S$52,I9,$R$6:$R$52)</f>
        <v>975</v>
      </c>
      <c r="K9" s="134"/>
      <c r="L9" s="297" t="s">
        <v>92</v>
      </c>
      <c r="M9" s="301"/>
      <c r="N9" s="301"/>
      <c r="O9" s="350">
        <f t="shared" ca="1" si="0"/>
        <v>43467</v>
      </c>
      <c r="P9" s="344" t="s">
        <v>69</v>
      </c>
      <c r="Q9" s="340" t="s">
        <v>23</v>
      </c>
      <c r="R9" s="341">
        <v>385.42</v>
      </c>
      <c r="S9" s="342" t="s">
        <v>24</v>
      </c>
      <c r="T9" s="343" t="s">
        <v>12</v>
      </c>
      <c r="U9" s="14"/>
      <c r="V9" s="375"/>
      <c r="W9" s="375"/>
      <c r="X9" s="375"/>
      <c r="Y9" s="375"/>
      <c r="Z9" s="375"/>
      <c r="AA9" s="375"/>
      <c r="AB9" s="375"/>
      <c r="AC9" s="375"/>
      <c r="AD9" s="375"/>
      <c r="AE9" s="375"/>
      <c r="AF9" s="375"/>
      <c r="AG9" s="375"/>
      <c r="AH9" s="14"/>
      <c r="AI9" s="90"/>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4" t="s">
        <v>59</v>
      </c>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row>
    <row r="10" spans="1:503" s="4" customFormat="1" ht="31.15" customHeight="1" thickBot="1">
      <c r="A10" s="90"/>
      <c r="B10" s="14"/>
      <c r="C10" s="327" t="s">
        <v>55</v>
      </c>
      <c r="D10" s="362" t="s">
        <v>145</v>
      </c>
      <c r="E10" s="14"/>
      <c r="F10" s="5"/>
      <c r="G10" s="6"/>
      <c r="H10" s="303"/>
      <c r="I10" s="144" t="s">
        <v>33</v>
      </c>
      <c r="J10" s="91">
        <f>SUMIF($S$6:$S$52,I10,$R$6:$R$52)</f>
        <v>2150</v>
      </c>
      <c r="K10" s="134"/>
      <c r="L10" s="301"/>
      <c r="M10" s="301"/>
      <c r="N10" s="301"/>
      <c r="O10" s="350">
        <f t="shared" ca="1" si="0"/>
        <v>43467</v>
      </c>
      <c r="P10" s="339" t="s">
        <v>75</v>
      </c>
      <c r="Q10" s="340" t="s">
        <v>76</v>
      </c>
      <c r="R10" s="341">
        <v>500</v>
      </c>
      <c r="S10" s="342" t="s">
        <v>42</v>
      </c>
      <c r="T10" s="343" t="s">
        <v>39</v>
      </c>
      <c r="U10" s="14"/>
      <c r="V10" s="375"/>
      <c r="W10" s="375"/>
      <c r="X10" s="375"/>
      <c r="Y10" s="375"/>
      <c r="Z10" s="375"/>
      <c r="AA10" s="375"/>
      <c r="AB10" s="375"/>
      <c r="AC10" s="375"/>
      <c r="AD10" s="375"/>
      <c r="AE10" s="375"/>
      <c r="AF10" s="375"/>
      <c r="AG10" s="375"/>
      <c r="AH10" s="14"/>
      <c r="AI10" s="90"/>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5" t="s">
        <v>101</v>
      </c>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row>
    <row r="11" spans="1:503" s="4" customFormat="1" ht="31.15" customHeight="1">
      <c r="A11" s="90"/>
      <c r="B11" s="14"/>
      <c r="C11" s="14"/>
      <c r="D11" s="363"/>
      <c r="E11" s="14"/>
      <c r="F11" s="373"/>
      <c r="G11" s="5"/>
      <c r="H11" s="303"/>
      <c r="I11" s="144" t="s">
        <v>24</v>
      </c>
      <c r="J11" s="91">
        <f>SUMIF($S$6:$S$52,I11,$R$6:$R$52)</f>
        <v>385.42</v>
      </c>
      <c r="K11" s="134"/>
      <c r="L11" s="301"/>
      <c r="M11" s="301"/>
      <c r="N11" s="301"/>
      <c r="O11" s="350">
        <f t="shared" ca="1" si="0"/>
        <v>43467</v>
      </c>
      <c r="P11" s="339" t="s">
        <v>77</v>
      </c>
      <c r="Q11" s="340" t="s">
        <v>121</v>
      </c>
      <c r="R11" s="341">
        <v>50</v>
      </c>
      <c r="S11" s="342" t="s">
        <v>79</v>
      </c>
      <c r="T11" s="343" t="s">
        <v>8</v>
      </c>
      <c r="U11" s="14"/>
      <c r="V11" s="375"/>
      <c r="W11" s="375"/>
      <c r="X11" s="375"/>
      <c r="Y11" s="375"/>
      <c r="Z11" s="375"/>
      <c r="AA11" s="375"/>
      <c r="AB11" s="375"/>
      <c r="AC11" s="375"/>
      <c r="AD11" s="375"/>
      <c r="AE11" s="375"/>
      <c r="AF11" s="375"/>
      <c r="AG11" s="375"/>
      <c r="AH11" s="14"/>
      <c r="AI11" s="90"/>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3" t="s">
        <v>0</v>
      </c>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row>
    <row r="12" spans="1:503" s="4" customFormat="1" ht="31.15" customHeight="1">
      <c r="A12" s="90"/>
      <c r="B12" s="14"/>
      <c r="C12" s="14"/>
      <c r="D12" s="14"/>
      <c r="E12" s="14"/>
      <c r="F12" s="374"/>
      <c r="G12" s="5"/>
      <c r="H12" s="303"/>
      <c r="I12" s="153" t="s">
        <v>4</v>
      </c>
      <c r="J12" s="91">
        <f>SUMIF($S$6:$S$52,I12,$R$6:$R$52)</f>
        <v>14.25</v>
      </c>
      <c r="K12" s="134"/>
      <c r="L12" s="309"/>
      <c r="M12" s="301"/>
      <c r="N12" s="301"/>
      <c r="O12" s="350">
        <f t="shared" ca="1" si="0"/>
        <v>43467</v>
      </c>
      <c r="P12" s="339" t="s">
        <v>71</v>
      </c>
      <c r="Q12" s="340" t="s">
        <v>113</v>
      </c>
      <c r="R12" s="341">
        <v>55</v>
      </c>
      <c r="S12" s="342" t="s">
        <v>114</v>
      </c>
      <c r="T12" s="343" t="s">
        <v>39</v>
      </c>
      <c r="U12" s="14"/>
      <c r="V12" s="375"/>
      <c r="W12" s="375"/>
      <c r="X12" s="375"/>
      <c r="Y12" s="375"/>
      <c r="Z12" s="375"/>
      <c r="AA12" s="375"/>
      <c r="AB12" s="375"/>
      <c r="AC12" s="375"/>
      <c r="AD12" s="375"/>
      <c r="AE12" s="375"/>
      <c r="AF12" s="375"/>
      <c r="AG12" s="375"/>
      <c r="AH12" s="14"/>
      <c r="AI12" s="90"/>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4" t="s">
        <v>58</v>
      </c>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row>
    <row r="13" spans="1:503" s="4" customFormat="1" ht="31.15" customHeight="1" thickBot="1">
      <c r="A13" s="90"/>
      <c r="B13" s="14"/>
      <c r="C13" s="327" t="s">
        <v>57</v>
      </c>
      <c r="D13" s="362" t="s">
        <v>132</v>
      </c>
      <c r="E13" s="14"/>
      <c r="F13" s="5"/>
      <c r="G13" s="5"/>
      <c r="H13" s="303"/>
      <c r="I13" s="153" t="s">
        <v>114</v>
      </c>
      <c r="J13" s="128">
        <f>SUMIF($S$6:$S$52,I13,$R$6:$R$52)</f>
        <v>55</v>
      </c>
      <c r="K13" s="134"/>
      <c r="L13" s="310"/>
      <c r="M13" s="301"/>
      <c r="N13" s="301"/>
      <c r="O13" s="350">
        <f ca="1">DATE(YEAR(TODAY()),1,5)</f>
        <v>43469</v>
      </c>
      <c r="P13" s="334" t="s">
        <v>32</v>
      </c>
      <c r="Q13" s="340" t="s">
        <v>134</v>
      </c>
      <c r="R13" s="345">
        <v>4.88</v>
      </c>
      <c r="S13" s="340" t="s">
        <v>59</v>
      </c>
      <c r="T13" s="343" t="s">
        <v>8</v>
      </c>
      <c r="U13" s="14"/>
      <c r="V13" s="375"/>
      <c r="W13" s="375"/>
      <c r="X13" s="375"/>
      <c r="Y13" s="375"/>
      <c r="Z13" s="375"/>
      <c r="AA13" s="375"/>
      <c r="AB13" s="375"/>
      <c r="AC13" s="375"/>
      <c r="AD13" s="375"/>
      <c r="AE13" s="375"/>
      <c r="AF13" s="375"/>
      <c r="AG13" s="375"/>
      <c r="AH13" s="14"/>
      <c r="AI13" s="90"/>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4" t="s">
        <v>29</v>
      </c>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row>
    <row r="14" spans="1:503" s="4" customFormat="1" ht="31.15" customHeight="1" thickBot="1">
      <c r="A14" s="90"/>
      <c r="B14" s="14"/>
      <c r="C14" s="14"/>
      <c r="D14" s="364"/>
      <c r="E14" s="14"/>
      <c r="F14" s="5"/>
      <c r="G14" s="5"/>
      <c r="H14" s="64"/>
      <c r="I14" s="63"/>
      <c r="J14" s="312" t="s">
        <v>96</v>
      </c>
      <c r="K14" s="138">
        <f>SUM(K9:K13)</f>
        <v>0</v>
      </c>
      <c r="L14" s="301"/>
      <c r="M14" s="301"/>
      <c r="N14" s="301"/>
      <c r="O14" s="350">
        <f ca="1">DATE(YEAR(TODAY()),1,6)</f>
        <v>43470</v>
      </c>
      <c r="P14" s="346" t="s">
        <v>71</v>
      </c>
      <c r="Q14" s="340" t="s">
        <v>2</v>
      </c>
      <c r="R14" s="345">
        <v>5</v>
      </c>
      <c r="S14" s="342" t="s">
        <v>34</v>
      </c>
      <c r="T14" s="343" t="s">
        <v>8</v>
      </c>
      <c r="U14" s="14"/>
      <c r="V14" s="375"/>
      <c r="W14" s="375"/>
      <c r="X14" s="375"/>
      <c r="Y14" s="375"/>
      <c r="Z14" s="375"/>
      <c r="AA14" s="375"/>
      <c r="AB14" s="375"/>
      <c r="AC14" s="375"/>
      <c r="AD14" s="375"/>
      <c r="AE14" s="375"/>
      <c r="AF14" s="375"/>
      <c r="AG14" s="375"/>
      <c r="AH14" s="14"/>
      <c r="AI14" s="90"/>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4" t="s">
        <v>4</v>
      </c>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row>
    <row r="15" spans="1:503" s="4" customFormat="1" ht="31.15" customHeight="1" thickTop="1">
      <c r="A15" s="90"/>
      <c r="B15" s="14"/>
      <c r="C15" s="14"/>
      <c r="D15" s="364"/>
      <c r="F15" s="5"/>
      <c r="G15" s="301"/>
      <c r="H15" s="358" t="s">
        <v>98</v>
      </c>
      <c r="I15" s="359"/>
      <c r="J15" s="360" t="s">
        <v>99</v>
      </c>
      <c r="K15" s="361"/>
      <c r="L15" s="301"/>
      <c r="M15" s="301"/>
      <c r="N15" s="301"/>
      <c r="O15" s="350">
        <f ca="1">DATE(YEAR(TODAY()),1,7)</f>
        <v>43471</v>
      </c>
      <c r="P15" s="334" t="s">
        <v>89</v>
      </c>
      <c r="Q15" s="340" t="s">
        <v>25</v>
      </c>
      <c r="R15" s="345">
        <v>9.75</v>
      </c>
      <c r="S15" s="340" t="s">
        <v>59</v>
      </c>
      <c r="T15" s="343" t="s">
        <v>38</v>
      </c>
      <c r="U15" s="14"/>
      <c r="V15" s="375"/>
      <c r="W15" s="375"/>
      <c r="X15" s="375"/>
      <c r="Y15" s="375"/>
      <c r="Z15" s="375"/>
      <c r="AA15" s="375"/>
      <c r="AB15" s="375"/>
      <c r="AC15" s="375"/>
      <c r="AD15" s="375"/>
      <c r="AE15" s="375"/>
      <c r="AF15" s="375"/>
      <c r="AG15" s="375"/>
      <c r="AH15" s="14"/>
      <c r="AI15" s="90"/>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4" t="s">
        <v>36</v>
      </c>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row>
    <row r="16" spans="1:503" s="4" customFormat="1" ht="31.15" customHeight="1" thickBot="1">
      <c r="A16" s="90"/>
      <c r="B16" s="14"/>
      <c r="C16" s="14"/>
      <c r="D16" s="364"/>
      <c r="E16" s="14"/>
      <c r="F16" s="5"/>
      <c r="G16" s="303"/>
      <c r="H16" s="301"/>
      <c r="I16" s="151">
        <v>8615</v>
      </c>
      <c r="J16" s="54"/>
      <c r="K16" s="136"/>
      <c r="L16" s="297" t="s">
        <v>92</v>
      </c>
      <c r="M16" s="301"/>
      <c r="N16" s="301"/>
      <c r="O16" s="350">
        <f ca="1">DATE(YEAR(TODAY()),1,8)</f>
        <v>43472</v>
      </c>
      <c r="P16" s="334" t="s">
        <v>70</v>
      </c>
      <c r="Q16" s="340" t="s">
        <v>82</v>
      </c>
      <c r="R16" s="345">
        <v>67.5</v>
      </c>
      <c r="S16" s="340" t="s">
        <v>40</v>
      </c>
      <c r="T16" s="343" t="s">
        <v>39</v>
      </c>
      <c r="U16" s="14"/>
      <c r="V16" s="375"/>
      <c r="W16" s="375"/>
      <c r="X16" s="375"/>
      <c r="Y16" s="375"/>
      <c r="Z16" s="375"/>
      <c r="AA16" s="375"/>
      <c r="AB16" s="375"/>
      <c r="AC16" s="375"/>
      <c r="AD16" s="375"/>
      <c r="AE16" s="375"/>
      <c r="AF16" s="375"/>
      <c r="AG16" s="375"/>
      <c r="AH16" s="14"/>
      <c r="AI16" s="90"/>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4" t="s">
        <v>24</v>
      </c>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row>
    <row r="17" spans="1:503" s="4" customFormat="1" ht="31.15" customHeight="1">
      <c r="A17" s="90"/>
      <c r="B17" s="14"/>
      <c r="C17" s="14"/>
      <c r="D17" s="364"/>
      <c r="F17" s="5"/>
      <c r="G17" s="303"/>
      <c r="H17" s="301"/>
      <c r="I17" s="2"/>
      <c r="J17" s="54"/>
      <c r="L17" s="6"/>
      <c r="M17" s="303"/>
      <c r="N17" s="301"/>
      <c r="O17" s="350">
        <f ca="1">DATE(YEAR(TODAY()),1,8)</f>
        <v>43472</v>
      </c>
      <c r="P17" s="334" t="s">
        <v>74</v>
      </c>
      <c r="Q17" s="340" t="s">
        <v>47</v>
      </c>
      <c r="R17" s="345">
        <v>15.52</v>
      </c>
      <c r="S17" s="340" t="s">
        <v>36</v>
      </c>
      <c r="T17" s="343" t="s">
        <v>37</v>
      </c>
      <c r="U17" s="14"/>
      <c r="V17" s="375"/>
      <c r="W17" s="375"/>
      <c r="X17" s="375"/>
      <c r="Y17" s="375"/>
      <c r="Z17" s="375"/>
      <c r="AA17" s="375"/>
      <c r="AB17" s="375"/>
      <c r="AC17" s="375"/>
      <c r="AD17" s="375"/>
      <c r="AE17" s="375"/>
      <c r="AF17" s="375"/>
      <c r="AG17" s="375"/>
      <c r="AH17" s="14"/>
      <c r="AI17" s="90"/>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4" t="s">
        <v>1</v>
      </c>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row>
    <row r="18" spans="1:503" s="4" customFormat="1" ht="31.15" customHeight="1" thickBot="1">
      <c r="A18" s="90"/>
      <c r="B18" s="14"/>
      <c r="C18" s="14"/>
      <c r="D18" s="364"/>
      <c r="E18" s="14"/>
      <c r="F18" s="5"/>
      <c r="G18" s="303"/>
      <c r="H18" s="300"/>
      <c r="I18" s="2"/>
      <c r="J18" s="9"/>
      <c r="K18" s="133"/>
      <c r="L18" s="14"/>
      <c r="M18" s="301"/>
      <c r="N18" s="301"/>
      <c r="O18" s="350">
        <f t="shared" ref="O18:O19" ca="1" si="1">DATE(YEAR(TODAY()),1,8)</f>
        <v>43472</v>
      </c>
      <c r="P18" s="334" t="s">
        <v>80</v>
      </c>
      <c r="Q18" s="340" t="s">
        <v>81</v>
      </c>
      <c r="R18" s="345">
        <v>20</v>
      </c>
      <c r="S18" s="340" t="s">
        <v>3</v>
      </c>
      <c r="T18" s="343" t="s">
        <v>12</v>
      </c>
      <c r="U18" s="14"/>
      <c r="V18" s="375"/>
      <c r="W18" s="375"/>
      <c r="X18" s="375"/>
      <c r="Y18" s="375"/>
      <c r="Z18" s="375"/>
      <c r="AA18" s="375"/>
      <c r="AB18" s="375"/>
      <c r="AC18" s="375"/>
      <c r="AD18" s="375"/>
      <c r="AE18" s="375"/>
      <c r="AF18" s="375"/>
      <c r="AG18" s="375"/>
      <c r="AH18" s="14"/>
      <c r="AI18" s="90"/>
      <c r="AJ18" s="120"/>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t="s">
        <v>125</v>
      </c>
      <c r="DQ18" s="14"/>
      <c r="DR18" s="14"/>
      <c r="DS18" s="14"/>
      <c r="DT18" s="14"/>
      <c r="DU18" s="14"/>
      <c r="DV18" s="144" t="s">
        <v>3</v>
      </c>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row>
    <row r="19" spans="1:503" s="4" customFormat="1" ht="31.15" customHeight="1" thickBot="1">
      <c r="A19" s="90"/>
      <c r="B19" s="14"/>
      <c r="C19" s="14"/>
      <c r="D19" s="363"/>
      <c r="F19" s="5"/>
      <c r="G19" s="303"/>
      <c r="H19" s="300"/>
      <c r="J19" s="131"/>
      <c r="K19" s="356" t="s">
        <v>119</v>
      </c>
      <c r="L19" s="313" t="s">
        <v>50</v>
      </c>
      <c r="M19" s="301"/>
      <c r="N19" s="301"/>
      <c r="O19" s="350">
        <f t="shared" ca="1" si="1"/>
        <v>43472</v>
      </c>
      <c r="P19" s="347" t="s">
        <v>71</v>
      </c>
      <c r="Q19" s="340" t="s">
        <v>48</v>
      </c>
      <c r="R19" s="345">
        <f>6.75</f>
        <v>6.75</v>
      </c>
      <c r="S19" s="340" t="s">
        <v>1</v>
      </c>
      <c r="T19" s="343" t="s">
        <v>5</v>
      </c>
      <c r="U19" s="14"/>
      <c r="V19" s="375"/>
      <c r="W19" s="375"/>
      <c r="X19" s="375"/>
      <c r="Y19" s="375"/>
      <c r="Z19" s="375"/>
      <c r="AA19" s="375"/>
      <c r="AB19" s="375"/>
      <c r="AC19" s="375"/>
      <c r="AD19" s="375"/>
      <c r="AE19" s="375"/>
      <c r="AF19" s="375"/>
      <c r="AG19" s="375"/>
      <c r="AH19" s="14"/>
      <c r="AI19" s="90"/>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4" t="s">
        <v>33</v>
      </c>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row>
    <row r="20" spans="1:503" s="4" customFormat="1" ht="31.15" customHeight="1" thickTop="1">
      <c r="A20" s="90"/>
      <c r="B20" s="14"/>
      <c r="F20" s="5"/>
      <c r="G20" s="303"/>
      <c r="H20" s="147" t="s">
        <v>106</v>
      </c>
      <c r="I20" s="130"/>
      <c r="J20" s="314" t="s">
        <v>30</v>
      </c>
      <c r="K20" s="357"/>
      <c r="L20" s="6"/>
      <c r="M20" s="301"/>
      <c r="N20" s="301"/>
      <c r="O20" s="350">
        <f ca="1">DATE(YEAR(TODAY()),1,9)</f>
        <v>43473</v>
      </c>
      <c r="P20" s="344" t="s">
        <v>69</v>
      </c>
      <c r="Q20" s="340" t="s">
        <v>100</v>
      </c>
      <c r="R20" s="345">
        <v>14.25</v>
      </c>
      <c r="S20" s="340" t="s">
        <v>4</v>
      </c>
      <c r="T20" s="343" t="s">
        <v>8</v>
      </c>
      <c r="U20" s="14"/>
      <c r="V20" s="375"/>
      <c r="W20" s="375"/>
      <c r="X20" s="375"/>
      <c r="Y20" s="375"/>
      <c r="Z20" s="375"/>
      <c r="AA20" s="375"/>
      <c r="AB20" s="375"/>
      <c r="AC20" s="375"/>
      <c r="AD20" s="375"/>
      <c r="AE20" s="375"/>
      <c r="AF20" s="375"/>
      <c r="AG20" s="375"/>
      <c r="AH20" s="14"/>
      <c r="AI20" s="90"/>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4" t="s">
        <v>102</v>
      </c>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row>
    <row r="21" spans="1:503" s="4" customFormat="1" ht="31.15" customHeight="1" thickBot="1">
      <c r="A21" s="90"/>
      <c r="B21" s="14"/>
      <c r="C21" s="327" t="s">
        <v>138</v>
      </c>
      <c r="D21" s="376" t="s">
        <v>141</v>
      </c>
      <c r="E21" s="14"/>
      <c r="F21" s="5"/>
      <c r="G21" s="303"/>
      <c r="H21" s="301"/>
      <c r="I21" s="60" t="s">
        <v>40</v>
      </c>
      <c r="J21" s="128">
        <f>SUMIF($S$6:$S$52,I21,$R$6:$R$52)</f>
        <v>135</v>
      </c>
      <c r="K21" s="134"/>
      <c r="L21" s="297" t="s">
        <v>92</v>
      </c>
      <c r="M21" s="301"/>
      <c r="N21" s="301"/>
      <c r="O21" s="350">
        <f t="shared" ref="O21:O22" ca="1" si="2">DATE(YEAR(TODAY()),1,9)</f>
        <v>43473</v>
      </c>
      <c r="P21" s="344" t="s">
        <v>69</v>
      </c>
      <c r="Q21" s="340" t="s">
        <v>26</v>
      </c>
      <c r="R21" s="345">
        <v>4.8899999999999997</v>
      </c>
      <c r="S21" s="340" t="s">
        <v>102</v>
      </c>
      <c r="T21" s="348" t="s">
        <v>12</v>
      </c>
      <c r="U21" s="14"/>
      <c r="V21" s="375"/>
      <c r="W21" s="375"/>
      <c r="X21" s="375"/>
      <c r="Y21" s="375"/>
      <c r="Z21" s="375"/>
      <c r="AA21" s="375"/>
      <c r="AB21" s="375"/>
      <c r="AC21" s="375"/>
      <c r="AD21" s="375"/>
      <c r="AE21" s="375"/>
      <c r="AF21" s="375"/>
      <c r="AG21" s="375"/>
      <c r="AH21" s="14"/>
      <c r="AI21" s="90"/>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row>
    <row r="22" spans="1:503" s="4" customFormat="1" ht="31.15" customHeight="1" thickTop="1" thickBot="1">
      <c r="A22" s="90"/>
      <c r="B22" s="14"/>
      <c r="C22" s="14"/>
      <c r="D22" s="377"/>
      <c r="E22" s="14"/>
      <c r="F22" s="5"/>
      <c r="G22" s="303"/>
      <c r="H22" s="301"/>
      <c r="I22" s="73" t="s">
        <v>111</v>
      </c>
      <c r="J22" s="140"/>
      <c r="K22" s="141"/>
      <c r="L22" s="297" t="s">
        <v>92</v>
      </c>
      <c r="M22" s="301"/>
      <c r="N22" s="301"/>
      <c r="O22" s="350">
        <f t="shared" ca="1" si="2"/>
        <v>43473</v>
      </c>
      <c r="P22" s="334" t="s">
        <v>89</v>
      </c>
      <c r="Q22" s="340" t="s">
        <v>135</v>
      </c>
      <c r="R22" s="345">
        <v>19.38</v>
      </c>
      <c r="S22" s="340" t="s">
        <v>59</v>
      </c>
      <c r="T22" s="343" t="s">
        <v>38</v>
      </c>
      <c r="U22" s="14"/>
      <c r="V22" s="375"/>
      <c r="W22" s="375"/>
      <c r="X22" s="375"/>
      <c r="Y22" s="375"/>
      <c r="Z22" s="375"/>
      <c r="AA22" s="375"/>
      <c r="AB22" s="375"/>
      <c r="AC22" s="375"/>
      <c r="AD22" s="375"/>
      <c r="AE22" s="375"/>
      <c r="AF22" s="375"/>
      <c r="AG22" s="375"/>
      <c r="AH22" s="14"/>
      <c r="AI22" s="90"/>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row>
    <row r="23" spans="1:503" s="4" customFormat="1" ht="31.15" customHeight="1" thickBot="1">
      <c r="A23" s="90"/>
      <c r="B23" s="14"/>
      <c r="C23" s="14"/>
      <c r="D23" s="377"/>
      <c r="E23" s="14"/>
      <c r="F23" s="5"/>
      <c r="G23" s="303"/>
      <c r="H23" s="64"/>
      <c r="I23" s="312" t="s">
        <v>108</v>
      </c>
      <c r="J23" s="93">
        <f>SUM(J21:J22)</f>
        <v>135</v>
      </c>
      <c r="K23" s="126">
        <f>SUM(K21:K22)</f>
        <v>0</v>
      </c>
      <c r="L23" s="301"/>
      <c r="M23" s="301"/>
      <c r="N23" s="301"/>
      <c r="O23" s="350">
        <f ca="1">DATE(YEAR(TODAY()),1,10)</f>
        <v>43474</v>
      </c>
      <c r="P23" s="334" t="s">
        <v>103</v>
      </c>
      <c r="Q23" s="340" t="s">
        <v>104</v>
      </c>
      <c r="R23" s="345">
        <v>32</v>
      </c>
      <c r="S23" s="340" t="s">
        <v>101</v>
      </c>
      <c r="T23" s="343" t="s">
        <v>12</v>
      </c>
      <c r="U23" s="9"/>
      <c r="V23" s="375"/>
      <c r="W23" s="375"/>
      <c r="X23" s="375"/>
      <c r="Y23" s="375"/>
      <c r="Z23" s="375"/>
      <c r="AA23" s="375"/>
      <c r="AB23" s="375"/>
      <c r="AC23" s="375"/>
      <c r="AD23" s="375"/>
      <c r="AE23" s="375"/>
      <c r="AF23" s="375"/>
      <c r="AG23" s="375"/>
      <c r="AH23" s="9"/>
      <c r="AI23" s="85"/>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row>
    <row r="24" spans="1:503" ht="31.15" customHeight="1" thickTop="1">
      <c r="A24" s="85"/>
      <c r="C24" s="14"/>
      <c r="D24" s="377"/>
      <c r="G24" s="300"/>
      <c r="H24" s="129" t="s">
        <v>90</v>
      </c>
      <c r="I24" s="130"/>
      <c r="J24" s="315" t="s">
        <v>30</v>
      </c>
      <c r="K24" s="316" t="s">
        <v>120</v>
      </c>
      <c r="L24" s="317" t="s">
        <v>92</v>
      </c>
      <c r="N24" s="6"/>
      <c r="O24" s="350">
        <f ca="1">DATE(YEAR(TODAY()),1,11)</f>
        <v>43475</v>
      </c>
      <c r="P24" s="334" t="s">
        <v>31</v>
      </c>
      <c r="Q24" s="340" t="s">
        <v>28</v>
      </c>
      <c r="R24" s="345">
        <v>75.319999999999993</v>
      </c>
      <c r="S24" s="340" t="s">
        <v>58</v>
      </c>
      <c r="T24" s="343" t="s">
        <v>38</v>
      </c>
      <c r="V24" s="375"/>
      <c r="W24" s="375"/>
      <c r="X24" s="375"/>
      <c r="Y24" s="375"/>
      <c r="Z24" s="375"/>
      <c r="AA24" s="375"/>
      <c r="AB24" s="375"/>
      <c r="AC24" s="375"/>
      <c r="AD24" s="375"/>
      <c r="AE24" s="375"/>
      <c r="AF24" s="375"/>
      <c r="AG24" s="375"/>
      <c r="AI24" s="85"/>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row>
    <row r="25" spans="1:503" ht="31.15" customHeight="1">
      <c r="A25" s="85"/>
      <c r="C25" s="14"/>
      <c r="D25" s="377"/>
      <c r="G25" s="300"/>
      <c r="H25" s="303"/>
      <c r="I25" s="318" t="s">
        <v>1</v>
      </c>
      <c r="J25" s="91">
        <f t="shared" ref="J25:J34" si="3">SUMIF($S$6:$S$52,I25,$R$6:$R$52)</f>
        <v>6.75</v>
      </c>
      <c r="K25" s="137"/>
      <c r="L25" s="155" t="str">
        <f>IF(ISBLANK(K25),"",(IF(K25&lt;J25,-1,IF(K25&gt;J25,1,0))))</f>
        <v/>
      </c>
      <c r="M25" s="304"/>
      <c r="N25" s="301"/>
      <c r="O25" s="350">
        <f ca="1">DATE(YEAR(TODAY()),1,11)</f>
        <v>43475</v>
      </c>
      <c r="P25" s="334" t="s">
        <v>86</v>
      </c>
      <c r="Q25" s="340" t="s">
        <v>136</v>
      </c>
      <c r="R25" s="345">
        <v>28.5</v>
      </c>
      <c r="S25" s="340" t="s">
        <v>101</v>
      </c>
      <c r="T25" s="343" t="s">
        <v>12</v>
      </c>
      <c r="V25" s="375"/>
      <c r="W25" s="375"/>
      <c r="X25" s="375"/>
      <c r="Y25" s="375"/>
      <c r="Z25" s="375"/>
      <c r="AA25" s="375"/>
      <c r="AB25" s="375"/>
      <c r="AC25" s="375"/>
      <c r="AD25" s="375"/>
      <c r="AE25" s="375"/>
      <c r="AF25" s="375"/>
      <c r="AG25" s="375"/>
      <c r="AI25" s="85"/>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row>
    <row r="26" spans="1:503" ht="31.15" customHeight="1">
      <c r="A26" s="85"/>
      <c r="C26" s="14"/>
      <c r="D26" s="377"/>
      <c r="G26" s="300"/>
      <c r="H26" s="303"/>
      <c r="I26" s="60" t="s">
        <v>34</v>
      </c>
      <c r="J26" s="91">
        <f t="shared" si="3"/>
        <v>5</v>
      </c>
      <c r="K26" s="134"/>
      <c r="L26" s="155" t="str">
        <f t="shared" ref="L26:L34" si="4">IF(ISBLANK(K26),"",(IF(K26&lt;J26,-1,IF(K26&gt;J26,1,0))))</f>
        <v/>
      </c>
      <c r="M26" s="304"/>
      <c r="N26" s="301"/>
      <c r="O26" s="351">
        <f ca="1">DATE(YEAR(TODAY()),1,18)</f>
        <v>43482</v>
      </c>
      <c r="P26" s="339" t="s">
        <v>31</v>
      </c>
      <c r="Q26" s="340" t="s">
        <v>28</v>
      </c>
      <c r="R26" s="341">
        <v>148.22</v>
      </c>
      <c r="S26" s="342" t="s">
        <v>58</v>
      </c>
      <c r="T26" s="348" t="s">
        <v>38</v>
      </c>
      <c r="V26" s="375"/>
      <c r="W26" s="375"/>
      <c r="X26" s="375"/>
      <c r="Y26" s="375"/>
      <c r="Z26" s="375"/>
      <c r="AA26" s="375"/>
      <c r="AB26" s="375"/>
      <c r="AC26" s="375"/>
      <c r="AD26" s="375"/>
      <c r="AE26" s="375"/>
      <c r="AF26" s="375"/>
      <c r="AG26" s="375"/>
      <c r="AI26" s="85"/>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row>
    <row r="27" spans="1:503" ht="31.15" customHeight="1">
      <c r="A27" s="85"/>
      <c r="C27" s="14"/>
      <c r="D27" s="378"/>
      <c r="G27" s="303"/>
      <c r="H27" s="303"/>
      <c r="I27" s="60" t="s">
        <v>36</v>
      </c>
      <c r="J27" s="91">
        <f t="shared" si="3"/>
        <v>31.04</v>
      </c>
      <c r="K27" s="134"/>
      <c r="L27" s="155" t="str">
        <f t="shared" si="4"/>
        <v/>
      </c>
      <c r="M27" s="304"/>
      <c r="N27" s="301"/>
      <c r="O27" s="351">
        <f t="shared" ref="O27:O28" ca="1" si="5">DATE(YEAR(TODAY()),1,18)</f>
        <v>43482</v>
      </c>
      <c r="P27" s="339" t="s">
        <v>84</v>
      </c>
      <c r="Q27" s="340" t="s">
        <v>137</v>
      </c>
      <c r="R27" s="341">
        <v>58.39</v>
      </c>
      <c r="S27" s="342" t="s">
        <v>0</v>
      </c>
      <c r="T27" s="343" t="s">
        <v>12</v>
      </c>
      <c r="U27" s="14"/>
      <c r="V27" s="375"/>
      <c r="W27" s="375"/>
      <c r="X27" s="375"/>
      <c r="Y27" s="375"/>
      <c r="Z27" s="375"/>
      <c r="AA27" s="375"/>
      <c r="AB27" s="375"/>
      <c r="AC27" s="375"/>
      <c r="AD27" s="375"/>
      <c r="AE27" s="375"/>
      <c r="AF27" s="375"/>
      <c r="AG27" s="375"/>
      <c r="AH27" s="14"/>
      <c r="AI27" s="90"/>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row>
    <row r="28" spans="1:503" s="4" customFormat="1" ht="31.15" customHeight="1">
      <c r="A28" s="90"/>
      <c r="B28" s="14"/>
      <c r="C28" s="14"/>
      <c r="D28" s="102"/>
      <c r="E28" s="14"/>
      <c r="F28" s="5"/>
      <c r="G28" s="303"/>
      <c r="H28" s="303"/>
      <c r="I28" s="60" t="s">
        <v>58</v>
      </c>
      <c r="J28" s="91">
        <f t="shared" si="3"/>
        <v>374.32</v>
      </c>
      <c r="K28" s="134"/>
      <c r="L28" s="155" t="str">
        <f t="shared" si="4"/>
        <v/>
      </c>
      <c r="M28" s="301"/>
      <c r="N28" s="301"/>
      <c r="O28" s="351">
        <f t="shared" ca="1" si="5"/>
        <v>43482</v>
      </c>
      <c r="P28" s="344" t="s">
        <v>72</v>
      </c>
      <c r="Q28" s="340" t="s">
        <v>27</v>
      </c>
      <c r="R28" s="345">
        <v>99.98</v>
      </c>
      <c r="S28" s="342" t="s">
        <v>7</v>
      </c>
      <c r="T28" s="343" t="s">
        <v>38</v>
      </c>
      <c r="U28" s="14"/>
      <c r="V28" s="375"/>
      <c r="W28" s="375"/>
      <c r="X28" s="375"/>
      <c r="Y28" s="375"/>
      <c r="Z28" s="375"/>
      <c r="AA28" s="375"/>
      <c r="AB28" s="375"/>
      <c r="AC28" s="375"/>
      <c r="AD28" s="375"/>
      <c r="AE28" s="375"/>
      <c r="AF28" s="375"/>
      <c r="AG28" s="375"/>
      <c r="AH28" s="14"/>
      <c r="AI28" s="90"/>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row>
    <row r="29" spans="1:503" s="4" customFormat="1" ht="31.15" customHeight="1">
      <c r="A29" s="90"/>
      <c r="B29" s="14"/>
      <c r="C29" s="14"/>
      <c r="D29" s="102"/>
      <c r="E29" s="313" t="s">
        <v>115</v>
      </c>
      <c r="F29" s="5"/>
      <c r="G29" s="303"/>
      <c r="H29" s="303"/>
      <c r="I29" s="60" t="s">
        <v>59</v>
      </c>
      <c r="J29" s="91">
        <f t="shared" si="3"/>
        <v>34.01</v>
      </c>
      <c r="K29" s="134"/>
      <c r="L29" s="155" t="str">
        <f t="shared" si="4"/>
        <v/>
      </c>
      <c r="M29" s="156"/>
      <c r="N29" s="301"/>
      <c r="O29" s="350">
        <f ca="1">DATE(YEAR(TODAY()),1,23)</f>
        <v>43487</v>
      </c>
      <c r="P29" s="344" t="s">
        <v>70</v>
      </c>
      <c r="Q29" s="340" t="s">
        <v>83</v>
      </c>
      <c r="R29" s="345">
        <v>67.5</v>
      </c>
      <c r="S29" s="342" t="s">
        <v>40</v>
      </c>
      <c r="T29" s="343" t="s">
        <v>39</v>
      </c>
      <c r="U29" s="14"/>
      <c r="V29" s="375"/>
      <c r="W29" s="375"/>
      <c r="X29" s="375"/>
      <c r="Y29" s="375"/>
      <c r="Z29" s="375"/>
      <c r="AA29" s="375"/>
      <c r="AB29" s="375"/>
      <c r="AC29" s="375"/>
      <c r="AD29" s="375"/>
      <c r="AE29" s="375"/>
      <c r="AF29" s="375"/>
      <c r="AG29" s="375"/>
      <c r="AH29" s="14"/>
      <c r="AI29" s="90"/>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row>
    <row r="30" spans="1:503" s="4" customFormat="1" ht="31.15" customHeight="1" thickBot="1">
      <c r="A30" s="90"/>
      <c r="B30" s="14"/>
      <c r="C30" s="14"/>
      <c r="D30" s="102"/>
      <c r="E30" s="14"/>
      <c r="F30" s="5"/>
      <c r="G30" s="303"/>
      <c r="H30" s="303"/>
      <c r="I30" s="60" t="s">
        <v>7</v>
      </c>
      <c r="J30" s="91">
        <f t="shared" si="3"/>
        <v>99.98</v>
      </c>
      <c r="K30" s="134"/>
      <c r="L30" s="155" t="str">
        <f t="shared" si="4"/>
        <v/>
      </c>
      <c r="M30" s="156"/>
      <c r="N30" s="156"/>
      <c r="O30" s="350">
        <f ca="1">DATE(YEAR(TODAY()),1,23)</f>
        <v>43487</v>
      </c>
      <c r="P30" s="344" t="s">
        <v>74</v>
      </c>
      <c r="Q30" s="340" t="s">
        <v>47</v>
      </c>
      <c r="R30" s="345">
        <v>15.52</v>
      </c>
      <c r="S30" s="342" t="s">
        <v>36</v>
      </c>
      <c r="T30" s="343" t="s">
        <v>37</v>
      </c>
      <c r="U30" s="14"/>
      <c r="V30" s="375"/>
      <c r="W30" s="375"/>
      <c r="X30" s="375"/>
      <c r="Y30" s="375"/>
      <c r="Z30" s="375"/>
      <c r="AA30" s="375"/>
      <c r="AB30" s="375"/>
      <c r="AC30" s="375"/>
      <c r="AD30" s="375"/>
      <c r="AE30" s="375"/>
      <c r="AF30" s="375"/>
      <c r="AG30" s="375"/>
      <c r="AH30" s="14"/>
      <c r="AI30" s="90"/>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row>
    <row r="31" spans="1:503" s="4" customFormat="1" ht="31.15" customHeight="1" thickTop="1">
      <c r="A31" s="90"/>
      <c r="B31" s="14"/>
      <c r="C31" s="14"/>
      <c r="D31" s="102"/>
      <c r="E31" s="14"/>
      <c r="F31" s="5"/>
      <c r="G31" s="303"/>
      <c r="H31" s="303"/>
      <c r="I31" s="60" t="s">
        <v>3</v>
      </c>
      <c r="J31" s="91">
        <f t="shared" si="3"/>
        <v>20</v>
      </c>
      <c r="K31" s="134"/>
      <c r="L31" s="155" t="str">
        <f t="shared" si="4"/>
        <v/>
      </c>
      <c r="M31" s="156"/>
      <c r="N31" s="158" t="s">
        <v>51</v>
      </c>
      <c r="O31" s="352"/>
      <c r="P31" s="160"/>
      <c r="Q31" s="161"/>
      <c r="R31" s="162"/>
      <c r="S31" s="161"/>
      <c r="T31" s="163"/>
      <c r="U31" s="14"/>
      <c r="V31" s="375"/>
      <c r="W31" s="375"/>
      <c r="X31" s="375"/>
      <c r="Y31" s="375"/>
      <c r="Z31" s="375"/>
      <c r="AA31" s="375"/>
      <c r="AB31" s="375"/>
      <c r="AC31" s="375"/>
      <c r="AD31" s="375"/>
      <c r="AE31" s="375"/>
      <c r="AF31" s="375"/>
      <c r="AG31" s="375"/>
      <c r="AH31" s="14"/>
      <c r="AI31" s="90"/>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row>
    <row r="32" spans="1:503" s="4" customFormat="1" ht="31.15" customHeight="1">
      <c r="A32" s="90"/>
      <c r="B32" s="14"/>
      <c r="C32" s="14"/>
      <c r="D32" s="102"/>
      <c r="E32" s="14"/>
      <c r="F32" s="5"/>
      <c r="G32" s="301"/>
      <c r="H32" s="303"/>
      <c r="I32" s="60" t="s">
        <v>0</v>
      </c>
      <c r="J32" s="91">
        <f t="shared" si="3"/>
        <v>58.39</v>
      </c>
      <c r="K32" s="134"/>
      <c r="L32" s="155" t="str">
        <f t="shared" si="4"/>
        <v/>
      </c>
      <c r="M32" s="301"/>
      <c r="N32" s="310"/>
      <c r="O32" s="353"/>
      <c r="P32" s="122"/>
      <c r="Q32" s="123"/>
      <c r="R32" s="124"/>
      <c r="S32" s="125"/>
      <c r="T32" s="164"/>
      <c r="U32" s="14"/>
      <c r="V32" s="375"/>
      <c r="W32" s="375"/>
      <c r="X32" s="375"/>
      <c r="Y32" s="375"/>
      <c r="Z32" s="375"/>
      <c r="AA32" s="375"/>
      <c r="AB32" s="375"/>
      <c r="AC32" s="375"/>
      <c r="AD32" s="375"/>
      <c r="AE32" s="375"/>
      <c r="AF32" s="375"/>
      <c r="AG32" s="375"/>
      <c r="AH32" s="14"/>
      <c r="AI32" s="90"/>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row>
    <row r="33" spans="1:503" s="6" customFormat="1" ht="31.15" customHeight="1" thickBot="1">
      <c r="A33" s="90"/>
      <c r="B33" s="14"/>
      <c r="C33" s="14"/>
      <c r="D33" s="102"/>
      <c r="E33" s="14"/>
      <c r="F33" s="5"/>
      <c r="G33" s="303"/>
      <c r="H33" s="303"/>
      <c r="I33" s="60" t="s">
        <v>101</v>
      </c>
      <c r="J33" s="91">
        <f t="shared" si="3"/>
        <v>60.5</v>
      </c>
      <c r="K33" s="134"/>
      <c r="L33" s="155" t="str">
        <f t="shared" si="4"/>
        <v/>
      </c>
      <c r="M33" s="301"/>
      <c r="N33" s="311"/>
      <c r="O33" s="354"/>
      <c r="P33" s="165"/>
      <c r="Q33" s="166"/>
      <c r="R33" s="167"/>
      <c r="S33" s="166"/>
      <c r="T33" s="168"/>
      <c r="U33" s="14"/>
      <c r="V33" s="375"/>
      <c r="W33" s="375"/>
      <c r="X33" s="375"/>
      <c r="Y33" s="375"/>
      <c r="Z33" s="375"/>
      <c r="AA33" s="375"/>
      <c r="AB33" s="375"/>
      <c r="AC33" s="375"/>
      <c r="AD33" s="375"/>
      <c r="AE33" s="375"/>
      <c r="AF33" s="375"/>
      <c r="AG33" s="375"/>
      <c r="AH33" s="14"/>
      <c r="AI33" s="90"/>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row>
    <row r="34" spans="1:503" s="6" customFormat="1" ht="31.15" customHeight="1" thickTop="1" thickBot="1">
      <c r="A34" s="90"/>
      <c r="B34" s="14"/>
      <c r="C34" s="14"/>
      <c r="D34" s="102"/>
      <c r="E34" s="14"/>
      <c r="F34" s="5"/>
      <c r="G34" s="301"/>
      <c r="H34" s="301"/>
      <c r="I34" s="60" t="s">
        <v>102</v>
      </c>
      <c r="J34" s="91">
        <f t="shared" si="3"/>
        <v>4.8899999999999997</v>
      </c>
      <c r="K34" s="135"/>
      <c r="L34" s="155" t="str">
        <f t="shared" si="4"/>
        <v/>
      </c>
      <c r="M34" s="301"/>
      <c r="N34" s="301"/>
      <c r="O34" s="114"/>
      <c r="P34" s="107"/>
      <c r="Q34" s="107"/>
      <c r="R34" s="108"/>
      <c r="S34" s="109"/>
      <c r="T34" s="159"/>
      <c r="U34" s="14"/>
      <c r="V34" s="375"/>
      <c r="W34" s="375"/>
      <c r="X34" s="375"/>
      <c r="Y34" s="375"/>
      <c r="Z34" s="375"/>
      <c r="AA34" s="375"/>
      <c r="AB34" s="375"/>
      <c r="AC34" s="375"/>
      <c r="AD34" s="375"/>
      <c r="AE34" s="375"/>
      <c r="AF34" s="375"/>
      <c r="AG34" s="375"/>
      <c r="AH34" s="14"/>
      <c r="AI34" s="90"/>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row>
    <row r="35" spans="1:503" s="6" customFormat="1" ht="31.15" customHeight="1" thickBot="1">
      <c r="A35" s="90"/>
      <c r="B35" s="14"/>
      <c r="C35" s="14"/>
      <c r="D35" s="102"/>
      <c r="E35" s="14"/>
      <c r="F35" s="5"/>
      <c r="G35" s="301"/>
      <c r="H35" s="301"/>
      <c r="I35" s="319" t="s">
        <v>107</v>
      </c>
      <c r="J35" s="127">
        <f>SUM(J25:J34)</f>
        <v>694.88</v>
      </c>
      <c r="K35" s="138">
        <f>SUM(K25:K34)</f>
        <v>0</v>
      </c>
      <c r="L35" s="301"/>
      <c r="M35" s="301"/>
      <c r="N35" s="301"/>
      <c r="O35" s="114"/>
      <c r="P35" s="107"/>
      <c r="Q35" s="157"/>
      <c r="R35" s="108"/>
      <c r="S35" s="109"/>
      <c r="T35" s="115"/>
      <c r="U35" s="14"/>
      <c r="V35" s="375"/>
      <c r="W35" s="375"/>
      <c r="X35" s="375"/>
      <c r="Y35" s="375"/>
      <c r="Z35" s="375"/>
      <c r="AA35" s="375"/>
      <c r="AB35" s="375"/>
      <c r="AC35" s="375"/>
      <c r="AD35" s="375"/>
      <c r="AE35" s="375"/>
      <c r="AF35" s="375"/>
      <c r="AG35" s="375"/>
      <c r="AH35" s="14"/>
      <c r="AI35" s="90"/>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row>
    <row r="36" spans="1:503" s="6" customFormat="1" ht="31.15" customHeight="1" thickTop="1">
      <c r="A36" s="90"/>
      <c r="B36" s="14"/>
      <c r="C36" s="14"/>
      <c r="D36" s="102"/>
      <c r="E36" s="14"/>
      <c r="F36" s="5"/>
      <c r="H36" s="148" t="s">
        <v>13</v>
      </c>
      <c r="I36" s="147"/>
      <c r="J36" s="296" t="s">
        <v>30</v>
      </c>
      <c r="K36" s="142" t="s">
        <v>120</v>
      </c>
      <c r="L36" s="301"/>
      <c r="M36" s="301"/>
      <c r="N36" s="301"/>
      <c r="O36" s="114"/>
      <c r="P36" s="107"/>
      <c r="Q36" s="107"/>
      <c r="R36" s="108"/>
      <c r="S36" s="109"/>
      <c r="T36" s="115"/>
      <c r="U36" s="14"/>
      <c r="V36" s="375"/>
      <c r="W36" s="375"/>
      <c r="X36" s="375"/>
      <c r="Y36" s="375"/>
      <c r="Z36" s="375"/>
      <c r="AA36" s="375"/>
      <c r="AB36" s="375"/>
      <c r="AC36" s="375"/>
      <c r="AD36" s="375"/>
      <c r="AE36" s="375"/>
      <c r="AF36" s="375"/>
      <c r="AG36" s="375"/>
      <c r="AH36" s="14"/>
      <c r="AI36" s="90"/>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row>
    <row r="37" spans="1:503" s="6" customFormat="1" ht="31.15" customHeight="1" thickBot="1">
      <c r="A37" s="90"/>
      <c r="B37" s="14"/>
      <c r="C37" s="14"/>
      <c r="D37" s="102"/>
      <c r="E37" s="14"/>
      <c r="F37" s="5"/>
      <c r="H37" s="303"/>
      <c r="I37" s="150" t="s">
        <v>109</v>
      </c>
      <c r="J37" s="139">
        <f>J23-J35</f>
        <v>-559.88</v>
      </c>
      <c r="K37" s="138">
        <f>K23-K35</f>
        <v>0</v>
      </c>
      <c r="L37" s="297" t="s">
        <v>92</v>
      </c>
      <c r="M37" s="301"/>
      <c r="N37" s="301"/>
      <c r="O37" s="114"/>
      <c r="P37" s="107"/>
      <c r="Q37" s="107"/>
      <c r="R37" s="108"/>
      <c r="S37" s="109"/>
      <c r="T37" s="115"/>
      <c r="U37" s="14"/>
      <c r="V37" s="375"/>
      <c r="W37" s="375"/>
      <c r="X37" s="375"/>
      <c r="Y37" s="375"/>
      <c r="Z37" s="375"/>
      <c r="AA37" s="375"/>
      <c r="AB37" s="375"/>
      <c r="AC37" s="375"/>
      <c r="AD37" s="375"/>
      <c r="AE37" s="375"/>
      <c r="AF37" s="375"/>
      <c r="AG37" s="375"/>
      <c r="AH37" s="14"/>
      <c r="AI37" s="90"/>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c r="OP37" s="14"/>
      <c r="OQ37" s="14"/>
      <c r="OR37" s="14"/>
      <c r="OS37" s="14"/>
      <c r="OT37" s="14"/>
      <c r="OU37" s="14"/>
      <c r="OV37" s="14"/>
      <c r="OW37" s="14"/>
      <c r="OX37" s="14"/>
      <c r="OY37" s="14"/>
      <c r="OZ37" s="14"/>
      <c r="PA37" s="14"/>
      <c r="PB37" s="14"/>
      <c r="PC37" s="14"/>
      <c r="PD37" s="14"/>
      <c r="PE37" s="14"/>
      <c r="PF37" s="14"/>
      <c r="PG37" s="14"/>
      <c r="PH37" s="14"/>
      <c r="PI37" s="14"/>
      <c r="PJ37" s="14"/>
      <c r="PK37" s="14"/>
      <c r="PL37" s="14"/>
      <c r="PM37" s="14"/>
      <c r="PN37" s="14"/>
      <c r="PO37" s="14"/>
      <c r="PP37" s="14"/>
      <c r="PQ37" s="14"/>
      <c r="PR37" s="14"/>
      <c r="PS37" s="14"/>
      <c r="PT37" s="14"/>
      <c r="PU37" s="14"/>
      <c r="PV37" s="14"/>
      <c r="PW37" s="14"/>
      <c r="PX37" s="14"/>
      <c r="PY37" s="14"/>
      <c r="PZ37" s="14"/>
      <c r="QA37" s="14"/>
      <c r="QB37" s="14"/>
      <c r="QC37" s="14"/>
      <c r="QD37" s="14"/>
      <c r="QE37" s="14"/>
      <c r="QF37" s="14"/>
      <c r="QG37" s="14"/>
      <c r="QH37" s="14"/>
      <c r="QI37" s="14"/>
      <c r="QJ37" s="14"/>
      <c r="QK37" s="14"/>
      <c r="QL37" s="14"/>
      <c r="QM37" s="14"/>
      <c r="QN37" s="14"/>
      <c r="QO37" s="14"/>
      <c r="QP37" s="14"/>
      <c r="QQ37" s="14"/>
      <c r="QR37" s="14"/>
      <c r="QS37" s="14"/>
      <c r="QT37" s="14"/>
      <c r="QU37" s="14"/>
      <c r="QV37" s="14"/>
      <c r="QW37" s="14"/>
      <c r="QX37" s="14"/>
      <c r="QY37" s="14"/>
      <c r="QZ37" s="14"/>
      <c r="RA37" s="14"/>
      <c r="RB37" s="14"/>
      <c r="RC37" s="14"/>
      <c r="RD37" s="14"/>
      <c r="RE37" s="14"/>
      <c r="RF37" s="14"/>
      <c r="RG37" s="14"/>
      <c r="RH37" s="14"/>
      <c r="RI37" s="14"/>
      <c r="RJ37" s="14"/>
      <c r="RK37" s="14"/>
      <c r="RL37" s="14"/>
      <c r="RM37" s="14"/>
      <c r="RN37" s="14"/>
      <c r="RO37" s="14"/>
      <c r="RP37" s="14"/>
      <c r="RQ37" s="14"/>
      <c r="RR37" s="14"/>
      <c r="RS37" s="14"/>
      <c r="RT37" s="14"/>
      <c r="RU37" s="14"/>
      <c r="RV37" s="14"/>
      <c r="RW37" s="14"/>
      <c r="RX37" s="14"/>
      <c r="RY37" s="14"/>
      <c r="RZ37" s="14"/>
      <c r="SA37" s="14"/>
      <c r="SB37" s="14"/>
      <c r="SC37" s="14"/>
      <c r="SD37" s="14"/>
      <c r="SE37" s="14"/>
      <c r="SF37" s="14"/>
      <c r="SG37" s="14"/>
      <c r="SH37" s="14"/>
      <c r="SI37" s="14"/>
    </row>
    <row r="38" spans="1:503" s="6" customFormat="1" ht="31.15" customHeight="1" thickBot="1">
      <c r="A38" s="90"/>
      <c r="B38" s="14"/>
      <c r="C38" s="14"/>
      <c r="D38" s="102"/>
      <c r="E38" s="14"/>
      <c r="F38" s="5"/>
      <c r="H38" s="301"/>
      <c r="I38" s="301"/>
      <c r="J38" s="329" t="s">
        <v>127</v>
      </c>
      <c r="K38" s="328" t="s">
        <v>126</v>
      </c>
      <c r="L38" s="301"/>
      <c r="M38" s="301"/>
      <c r="N38" s="301"/>
      <c r="O38" s="116"/>
      <c r="P38" s="109"/>
      <c r="Q38" s="109"/>
      <c r="R38" s="110"/>
      <c r="S38" s="109"/>
      <c r="T38" s="117"/>
      <c r="U38" s="14"/>
      <c r="V38" s="375"/>
      <c r="W38" s="375"/>
      <c r="X38" s="375"/>
      <c r="Y38" s="375"/>
      <c r="Z38" s="375"/>
      <c r="AA38" s="375"/>
      <c r="AB38" s="375"/>
      <c r="AC38" s="375"/>
      <c r="AD38" s="375"/>
      <c r="AE38" s="375"/>
      <c r="AF38" s="375"/>
      <c r="AG38" s="375"/>
      <c r="AH38" s="14"/>
      <c r="AI38" s="90"/>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c r="OP38" s="14"/>
      <c r="OQ38" s="14"/>
      <c r="OR38" s="14"/>
      <c r="OS38" s="14"/>
      <c r="OT38" s="14"/>
      <c r="OU38" s="14"/>
      <c r="OV38" s="14"/>
      <c r="OW38" s="14"/>
      <c r="OX38" s="14"/>
      <c r="OY38" s="14"/>
      <c r="OZ38" s="14"/>
      <c r="PA38" s="14"/>
      <c r="PB38" s="14"/>
      <c r="PC38" s="14"/>
      <c r="PD38" s="14"/>
      <c r="PE38" s="14"/>
      <c r="PF38" s="14"/>
      <c r="PG38" s="14"/>
      <c r="PH38" s="14"/>
      <c r="PI38" s="14"/>
      <c r="PJ38" s="14"/>
      <c r="PK38" s="14"/>
      <c r="PL38" s="14"/>
      <c r="PM38" s="14"/>
      <c r="PN38" s="14"/>
      <c r="PO38" s="14"/>
      <c r="PP38" s="14"/>
      <c r="PQ38" s="14"/>
      <c r="PR38" s="14"/>
      <c r="PS38" s="14"/>
      <c r="PT38" s="14"/>
      <c r="PU38" s="14"/>
      <c r="PV38" s="14"/>
      <c r="PW38" s="14"/>
      <c r="PX38" s="14"/>
      <c r="PY38" s="14"/>
      <c r="PZ38" s="14"/>
      <c r="QA38" s="14"/>
      <c r="QB38" s="14"/>
      <c r="QC38" s="14"/>
      <c r="QD38" s="14"/>
      <c r="QE38" s="14"/>
      <c r="QF38" s="14"/>
      <c r="QG38" s="14"/>
      <c r="QH38" s="14"/>
      <c r="QI38" s="14"/>
      <c r="QJ38" s="14"/>
      <c r="QK38" s="14"/>
      <c r="QL38" s="14"/>
      <c r="QM38" s="14"/>
      <c r="QN38" s="14"/>
      <c r="QO38" s="14"/>
      <c r="QP38" s="14"/>
      <c r="QQ38" s="14"/>
      <c r="QR38" s="14"/>
      <c r="QS38" s="14"/>
      <c r="QT38" s="14"/>
      <c r="QU38" s="14"/>
      <c r="QV38" s="14"/>
      <c r="QW38" s="14"/>
      <c r="QX38" s="14"/>
      <c r="QY38" s="14"/>
      <c r="QZ38" s="14"/>
      <c r="RA38" s="14"/>
      <c r="RB38" s="14"/>
      <c r="RC38" s="14"/>
      <c r="RD38" s="14"/>
      <c r="RE38" s="14"/>
      <c r="RF38" s="14"/>
      <c r="RG38" s="14"/>
      <c r="RH38" s="14"/>
      <c r="RI38" s="14"/>
      <c r="RJ38" s="14"/>
      <c r="RK38" s="14"/>
      <c r="RL38" s="14"/>
      <c r="RM38" s="14"/>
      <c r="RN38" s="14"/>
      <c r="RO38" s="14"/>
      <c r="RP38" s="14"/>
      <c r="RQ38" s="14"/>
      <c r="RR38" s="14"/>
      <c r="RS38" s="14"/>
      <c r="RT38" s="14"/>
      <c r="RU38" s="14"/>
      <c r="RV38" s="14"/>
      <c r="RW38" s="14"/>
      <c r="RX38" s="14"/>
      <c r="RY38" s="14"/>
      <c r="RZ38" s="14"/>
      <c r="SA38" s="14"/>
      <c r="SB38" s="14"/>
      <c r="SC38" s="14"/>
      <c r="SD38" s="14"/>
      <c r="SE38" s="14"/>
      <c r="SF38" s="14"/>
      <c r="SG38" s="14"/>
      <c r="SH38" s="14"/>
      <c r="SI38" s="14"/>
    </row>
    <row r="39" spans="1:503" s="6" customFormat="1" ht="31.15" customHeight="1" thickTop="1">
      <c r="A39" s="90"/>
      <c r="B39" s="14"/>
      <c r="C39" s="14"/>
      <c r="D39" s="102"/>
      <c r="E39" s="14"/>
      <c r="F39" s="5"/>
      <c r="H39" s="365" t="s">
        <v>133</v>
      </c>
      <c r="I39" s="366"/>
      <c r="J39" s="366"/>
      <c r="K39" s="367"/>
      <c r="L39" s="301"/>
      <c r="M39" s="301"/>
      <c r="N39" s="301"/>
      <c r="O39" s="116"/>
      <c r="P39" s="109"/>
      <c r="Q39" s="109"/>
      <c r="R39" s="110"/>
      <c r="S39" s="109"/>
      <c r="T39" s="117"/>
      <c r="U39" s="14"/>
      <c r="V39" s="375"/>
      <c r="W39" s="375"/>
      <c r="X39" s="375"/>
      <c r="Y39" s="375"/>
      <c r="Z39" s="375"/>
      <c r="AA39" s="375"/>
      <c r="AB39" s="375"/>
      <c r="AC39" s="375"/>
      <c r="AD39" s="375"/>
      <c r="AE39" s="375"/>
      <c r="AF39" s="375"/>
      <c r="AG39" s="375"/>
      <c r="AH39" s="14"/>
      <c r="AI39" s="90"/>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row>
    <row r="40" spans="1:503" s="6" customFormat="1" ht="31.15" customHeight="1" thickBot="1">
      <c r="A40" s="90"/>
      <c r="B40" s="14"/>
      <c r="C40" s="14"/>
      <c r="D40" s="102"/>
      <c r="E40" s="14"/>
      <c r="F40" s="5"/>
      <c r="G40" s="14"/>
      <c r="J40" s="169" t="s">
        <v>112</v>
      </c>
      <c r="K40" s="136"/>
      <c r="L40" s="297" t="s">
        <v>92</v>
      </c>
      <c r="M40" s="301"/>
      <c r="N40" s="301"/>
      <c r="O40" s="114"/>
      <c r="P40" s="107"/>
      <c r="Q40" s="107"/>
      <c r="R40" s="108"/>
      <c r="S40" s="109"/>
      <c r="T40" s="115"/>
      <c r="U40" s="9"/>
      <c r="V40" s="375"/>
      <c r="W40" s="375"/>
      <c r="X40" s="375"/>
      <c r="Y40" s="375"/>
      <c r="Z40" s="375"/>
      <c r="AA40" s="375"/>
      <c r="AB40" s="375"/>
      <c r="AC40" s="375"/>
      <c r="AD40" s="375"/>
      <c r="AE40" s="375"/>
      <c r="AF40" s="375"/>
      <c r="AG40" s="375"/>
      <c r="AH40" s="9"/>
      <c r="AI40" s="85"/>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c r="PD40" s="14"/>
      <c r="PE40" s="14"/>
      <c r="PF40" s="14"/>
      <c r="PG40" s="14"/>
      <c r="PH40" s="14"/>
      <c r="PI40" s="14"/>
      <c r="PJ40" s="14"/>
      <c r="PK40" s="14"/>
      <c r="PL40" s="14"/>
      <c r="PM40" s="14"/>
      <c r="PN40" s="14"/>
      <c r="PO40" s="14"/>
      <c r="PP40" s="14"/>
      <c r="PQ40" s="14"/>
      <c r="PR40" s="14"/>
      <c r="PS40" s="14"/>
      <c r="PT40" s="14"/>
      <c r="PU40" s="14"/>
      <c r="PV40" s="14"/>
      <c r="PW40" s="14"/>
      <c r="PX40" s="14"/>
      <c r="PY40" s="14"/>
      <c r="PZ40" s="14"/>
      <c r="QA40" s="14"/>
      <c r="QB40" s="14"/>
      <c r="QC40" s="14"/>
      <c r="QD40" s="14"/>
      <c r="QE40" s="14"/>
      <c r="QF40" s="14"/>
      <c r="QG40" s="14"/>
      <c r="QH40" s="14"/>
      <c r="QI40" s="14"/>
      <c r="QJ40" s="14"/>
      <c r="QK40" s="14"/>
      <c r="QL40" s="14"/>
      <c r="QM40" s="14"/>
      <c r="QN40" s="14"/>
      <c r="QO40" s="14"/>
      <c r="QP40" s="14"/>
      <c r="QQ40" s="14"/>
      <c r="QR40" s="14"/>
      <c r="QS40" s="14"/>
      <c r="QT40" s="14"/>
      <c r="QU40" s="14"/>
      <c r="QV40" s="14"/>
      <c r="QW40" s="14"/>
      <c r="QX40" s="14"/>
      <c r="QY40" s="14"/>
      <c r="QZ40" s="14"/>
      <c r="RA40" s="14"/>
      <c r="RB40" s="14"/>
      <c r="RC40" s="14"/>
      <c r="RD40" s="14"/>
      <c r="RE40" s="14"/>
      <c r="RF40" s="14"/>
      <c r="RG40" s="14"/>
      <c r="RH40" s="14"/>
      <c r="RI40" s="14"/>
      <c r="RJ40" s="14"/>
      <c r="RK40" s="14"/>
      <c r="RL40" s="14"/>
      <c r="RM40" s="14"/>
      <c r="RN40" s="14"/>
      <c r="RO40" s="14"/>
      <c r="RP40" s="14"/>
      <c r="RQ40" s="14"/>
      <c r="RR40" s="14"/>
      <c r="RS40" s="14"/>
      <c r="RT40" s="14"/>
      <c r="RU40" s="14"/>
      <c r="RV40" s="14"/>
      <c r="RW40" s="14"/>
      <c r="RX40" s="14"/>
      <c r="RY40" s="14"/>
      <c r="RZ40" s="14"/>
      <c r="SA40" s="14"/>
      <c r="SB40" s="14"/>
      <c r="SC40" s="14"/>
      <c r="SD40" s="14"/>
      <c r="SE40" s="14"/>
      <c r="SF40" s="14"/>
      <c r="SG40" s="14"/>
      <c r="SH40" s="14"/>
      <c r="SI40" s="14"/>
    </row>
    <row r="41" spans="1:503" s="6" customFormat="1" ht="31.15" customHeight="1">
      <c r="A41" s="90"/>
      <c r="B41" s="14"/>
      <c r="C41" s="14"/>
      <c r="D41" s="102"/>
      <c r="E41" s="14"/>
      <c r="F41" s="5"/>
      <c r="G41" s="45"/>
      <c r="I41" s="320"/>
      <c r="J41" s="321"/>
      <c r="K41" s="368" t="s">
        <v>143</v>
      </c>
      <c r="L41" s="301"/>
      <c r="M41" s="301"/>
      <c r="N41" s="301"/>
      <c r="O41" s="114"/>
      <c r="P41" s="107"/>
      <c r="Q41" s="107"/>
      <c r="R41" s="108"/>
      <c r="S41" s="109"/>
      <c r="T41" s="115"/>
      <c r="U41" s="14"/>
      <c r="V41" s="375"/>
      <c r="W41" s="375"/>
      <c r="X41" s="375"/>
      <c r="Y41" s="375"/>
      <c r="Z41" s="375"/>
      <c r="AA41" s="375"/>
      <c r="AB41" s="375"/>
      <c r="AC41" s="375"/>
      <c r="AD41" s="375"/>
      <c r="AE41" s="375"/>
      <c r="AF41" s="375"/>
      <c r="AG41" s="375"/>
      <c r="AH41" s="14"/>
      <c r="AI41" s="90"/>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c r="PD41" s="14"/>
      <c r="PE41" s="14"/>
      <c r="PF41" s="14"/>
      <c r="PG41" s="14"/>
      <c r="PH41" s="14"/>
      <c r="PI41" s="14"/>
      <c r="PJ41" s="14"/>
      <c r="PK41" s="14"/>
      <c r="PL41" s="14"/>
      <c r="PM41" s="14"/>
      <c r="PN41" s="14"/>
      <c r="PO41" s="14"/>
      <c r="PP41" s="14"/>
      <c r="PQ41" s="14"/>
      <c r="PR41" s="14"/>
      <c r="PS41" s="14"/>
      <c r="PT41" s="14"/>
      <c r="PU41" s="14"/>
      <c r="PV41" s="14"/>
      <c r="PW41" s="14"/>
      <c r="PX41" s="14"/>
      <c r="PY41" s="14"/>
      <c r="PZ41" s="14"/>
      <c r="QA41" s="14"/>
      <c r="QB41" s="14"/>
      <c r="QC41" s="14"/>
      <c r="QD41" s="14"/>
      <c r="QE41" s="14"/>
      <c r="QF41" s="14"/>
      <c r="QG41" s="14"/>
      <c r="QH41" s="14"/>
      <c r="QI41" s="14"/>
      <c r="QJ41" s="14"/>
      <c r="QK41" s="14"/>
      <c r="QL41" s="14"/>
      <c r="QM41" s="14"/>
      <c r="QN41" s="14"/>
      <c r="QO41" s="14"/>
      <c r="QP41" s="14"/>
      <c r="QQ41" s="14"/>
      <c r="QR41" s="14"/>
      <c r="QS41" s="14"/>
      <c r="QT41" s="14"/>
      <c r="QU41" s="14"/>
      <c r="QV41" s="14"/>
      <c r="QW41" s="14"/>
      <c r="QX41" s="14"/>
      <c r="QY41" s="14"/>
      <c r="QZ41" s="14"/>
      <c r="RA41" s="14"/>
      <c r="RB41" s="14"/>
      <c r="RC41" s="14"/>
      <c r="RD41" s="14"/>
      <c r="RE41" s="14"/>
      <c r="RF41" s="14"/>
      <c r="RG41" s="14"/>
      <c r="RH41" s="14"/>
      <c r="RI41" s="14"/>
      <c r="RJ41" s="14"/>
      <c r="RK41" s="14"/>
      <c r="RL41" s="14"/>
      <c r="RM41" s="14"/>
      <c r="RN41" s="14"/>
      <c r="RO41" s="14"/>
      <c r="RP41" s="14"/>
      <c r="RQ41" s="14"/>
      <c r="RR41" s="14"/>
      <c r="RS41" s="14"/>
      <c r="RT41" s="14"/>
      <c r="RU41" s="14"/>
      <c r="RV41" s="14"/>
      <c r="RW41" s="14"/>
      <c r="RX41" s="14"/>
      <c r="RY41" s="14"/>
      <c r="RZ41" s="14"/>
      <c r="SA41" s="14"/>
      <c r="SB41" s="14"/>
      <c r="SC41" s="14"/>
      <c r="SD41" s="14"/>
      <c r="SE41" s="14"/>
      <c r="SF41" s="14"/>
      <c r="SG41" s="14"/>
      <c r="SH41" s="14"/>
      <c r="SI41" s="14"/>
    </row>
    <row r="42" spans="1:503" s="6" customFormat="1" ht="31.15" customHeight="1">
      <c r="A42" s="90"/>
      <c r="B42" s="14"/>
      <c r="C42" s="14"/>
      <c r="D42" s="102"/>
      <c r="E42" s="14"/>
      <c r="F42" s="5"/>
      <c r="G42" s="45"/>
      <c r="I42" s="320"/>
      <c r="J42" s="301"/>
      <c r="K42" s="369"/>
      <c r="L42" s="301"/>
      <c r="M42" s="301"/>
      <c r="N42" s="301"/>
      <c r="O42" s="114"/>
      <c r="P42" s="107"/>
      <c r="Q42" s="107"/>
      <c r="R42" s="108"/>
      <c r="S42" s="109"/>
      <c r="T42" s="115"/>
      <c r="U42" s="14"/>
      <c r="V42" s="375"/>
      <c r="W42" s="375"/>
      <c r="X42" s="375"/>
      <c r="Y42" s="375"/>
      <c r="Z42" s="375"/>
      <c r="AA42" s="375"/>
      <c r="AB42" s="375"/>
      <c r="AC42" s="375"/>
      <c r="AD42" s="375"/>
      <c r="AE42" s="375"/>
      <c r="AF42" s="375"/>
      <c r="AG42" s="375"/>
      <c r="AH42" s="14"/>
      <c r="AI42" s="90"/>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c r="OP42" s="14"/>
      <c r="OQ42" s="14"/>
      <c r="OR42" s="14"/>
      <c r="OS42" s="14"/>
      <c r="OT42" s="14"/>
      <c r="OU42" s="14"/>
      <c r="OV42" s="14"/>
      <c r="OW42" s="14"/>
      <c r="OX42" s="14"/>
      <c r="OY42" s="14"/>
      <c r="OZ42" s="14"/>
      <c r="PA42" s="14"/>
      <c r="PB42" s="14"/>
      <c r="PC42" s="14"/>
      <c r="PD42" s="14"/>
      <c r="PE42" s="14"/>
      <c r="PF42" s="14"/>
      <c r="PG42" s="14"/>
      <c r="PH42" s="14"/>
      <c r="PI42" s="14"/>
      <c r="PJ42" s="14"/>
      <c r="PK42" s="14"/>
      <c r="PL42" s="14"/>
      <c r="PM42" s="14"/>
      <c r="PN42" s="14"/>
      <c r="PO42" s="14"/>
      <c r="PP42" s="14"/>
      <c r="PQ42" s="14"/>
      <c r="PR42" s="14"/>
      <c r="PS42" s="14"/>
      <c r="PT42" s="14"/>
      <c r="PU42" s="14"/>
      <c r="PV42" s="14"/>
      <c r="PW42" s="14"/>
      <c r="PX42" s="14"/>
      <c r="PY42" s="14"/>
      <c r="PZ42" s="14"/>
      <c r="QA42" s="14"/>
      <c r="QB42" s="14"/>
      <c r="QC42" s="14"/>
      <c r="QD42" s="14"/>
      <c r="QE42" s="14"/>
      <c r="QF42" s="14"/>
      <c r="QG42" s="14"/>
      <c r="QH42" s="14"/>
      <c r="QI42" s="14"/>
      <c r="QJ42" s="14"/>
      <c r="QK42" s="14"/>
      <c r="QL42" s="14"/>
      <c r="QM42" s="14"/>
      <c r="QN42" s="14"/>
      <c r="QO42" s="14"/>
      <c r="QP42" s="14"/>
      <c r="QQ42" s="14"/>
      <c r="QR42" s="14"/>
      <c r="QS42" s="14"/>
      <c r="QT42" s="14"/>
      <c r="QU42" s="14"/>
      <c r="QV42" s="14"/>
      <c r="QW42" s="14"/>
      <c r="QX42" s="14"/>
      <c r="QY42" s="14"/>
      <c r="QZ42" s="14"/>
      <c r="RA42" s="14"/>
      <c r="RB42" s="14"/>
      <c r="RC42" s="14"/>
      <c r="RD42" s="14"/>
      <c r="RE42" s="14"/>
      <c r="RF42" s="14"/>
      <c r="RG42" s="14"/>
      <c r="RH42" s="14"/>
      <c r="RI42" s="14"/>
      <c r="RJ42" s="14"/>
      <c r="RK42" s="14"/>
      <c r="RL42" s="14"/>
      <c r="RM42" s="14"/>
      <c r="RN42" s="14"/>
      <c r="RO42" s="14"/>
      <c r="RP42" s="14"/>
      <c r="RQ42" s="14"/>
      <c r="RR42" s="14"/>
      <c r="RS42" s="14"/>
      <c r="RT42" s="14"/>
      <c r="RU42" s="14"/>
      <c r="RV42" s="14"/>
      <c r="RW42" s="14"/>
      <c r="RX42" s="14"/>
      <c r="RY42" s="14"/>
      <c r="RZ42" s="14"/>
      <c r="SA42" s="14"/>
      <c r="SB42" s="14"/>
      <c r="SC42" s="14"/>
      <c r="SD42" s="14"/>
      <c r="SE42" s="14"/>
      <c r="SF42" s="14"/>
      <c r="SG42" s="14"/>
      <c r="SH42" s="14"/>
      <c r="SI42" s="14"/>
    </row>
    <row r="43" spans="1:503" s="6" customFormat="1" ht="31.15" customHeight="1">
      <c r="A43" s="90"/>
      <c r="B43" s="14"/>
      <c r="C43" s="14"/>
      <c r="D43" s="102"/>
      <c r="E43" s="14"/>
      <c r="F43" s="5"/>
      <c r="G43" s="45"/>
      <c r="H43" s="14"/>
      <c r="I43" s="320"/>
      <c r="J43" s="322" t="s">
        <v>88</v>
      </c>
      <c r="K43" s="320"/>
      <c r="L43" s="301"/>
      <c r="M43" s="301"/>
      <c r="N43" s="301"/>
      <c r="O43" s="114"/>
      <c r="P43" s="107"/>
      <c r="Q43" s="107"/>
      <c r="R43" s="108"/>
      <c r="S43" s="109"/>
      <c r="T43" s="115"/>
      <c r="U43" s="14"/>
      <c r="V43" s="375"/>
      <c r="W43" s="375"/>
      <c r="X43" s="375"/>
      <c r="Y43" s="375"/>
      <c r="Z43" s="375"/>
      <c r="AA43" s="375"/>
      <c r="AB43" s="375"/>
      <c r="AC43" s="375"/>
      <c r="AD43" s="375"/>
      <c r="AE43" s="375"/>
      <c r="AF43" s="375"/>
      <c r="AG43" s="375"/>
      <c r="AH43" s="14"/>
      <c r="AI43" s="90"/>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c r="OP43" s="14"/>
      <c r="OQ43" s="14"/>
      <c r="OR43" s="14"/>
      <c r="OS43" s="14"/>
      <c r="OT43" s="14"/>
      <c r="OU43" s="14"/>
      <c r="OV43" s="14"/>
      <c r="OW43" s="14"/>
      <c r="OX43" s="14"/>
      <c r="OY43" s="14"/>
      <c r="OZ43" s="14"/>
      <c r="PA43" s="14"/>
      <c r="PB43" s="14"/>
      <c r="PC43" s="14"/>
      <c r="PD43" s="14"/>
      <c r="PE43" s="14"/>
      <c r="PF43" s="14"/>
      <c r="PG43" s="14"/>
      <c r="PH43" s="14"/>
      <c r="PI43" s="14"/>
      <c r="PJ43" s="14"/>
      <c r="PK43" s="14"/>
      <c r="PL43" s="14"/>
      <c r="PM43" s="14"/>
      <c r="PN43" s="14"/>
      <c r="PO43" s="14"/>
      <c r="PP43" s="14"/>
      <c r="PQ43" s="14"/>
      <c r="PR43" s="14"/>
      <c r="PS43" s="14"/>
      <c r="PT43" s="14"/>
      <c r="PU43" s="14"/>
      <c r="PV43" s="14"/>
      <c r="PW43" s="14"/>
      <c r="PX43" s="14"/>
      <c r="PY43" s="14"/>
      <c r="PZ43" s="14"/>
      <c r="QA43" s="14"/>
      <c r="QB43" s="14"/>
      <c r="QC43" s="14"/>
      <c r="QD43" s="14"/>
      <c r="QE43" s="14"/>
      <c r="QF43" s="14"/>
      <c r="QG43" s="14"/>
      <c r="QH43" s="14"/>
      <c r="QI43" s="14"/>
      <c r="QJ43" s="14"/>
      <c r="QK43" s="14"/>
      <c r="QL43" s="14"/>
      <c r="QM43" s="14"/>
      <c r="QN43" s="14"/>
      <c r="QO43" s="14"/>
      <c r="QP43" s="14"/>
      <c r="QQ43" s="14"/>
      <c r="QR43" s="14"/>
      <c r="QS43" s="14"/>
      <c r="QT43" s="14"/>
      <c r="QU43" s="14"/>
      <c r="QV43" s="14"/>
      <c r="QW43" s="14"/>
      <c r="QX43" s="14"/>
      <c r="QY43" s="14"/>
      <c r="QZ43" s="14"/>
      <c r="RA43" s="14"/>
      <c r="RB43" s="14"/>
      <c r="RC43" s="14"/>
      <c r="RD43" s="14"/>
      <c r="RE43" s="14"/>
      <c r="RF43" s="14"/>
      <c r="RG43" s="14"/>
      <c r="RH43" s="14"/>
      <c r="RI43" s="14"/>
      <c r="RJ43" s="14"/>
      <c r="RK43" s="14"/>
      <c r="RL43" s="14"/>
      <c r="RM43" s="14"/>
      <c r="RN43" s="14"/>
      <c r="RO43" s="14"/>
      <c r="RP43" s="14"/>
      <c r="RQ43" s="14"/>
      <c r="RR43" s="14"/>
      <c r="RS43" s="14"/>
      <c r="RT43" s="14"/>
      <c r="RU43" s="14"/>
      <c r="RV43" s="14"/>
      <c r="RW43" s="14"/>
      <c r="RX43" s="14"/>
      <c r="RY43" s="14"/>
      <c r="RZ43" s="14"/>
      <c r="SA43" s="14"/>
      <c r="SB43" s="14"/>
      <c r="SC43" s="14"/>
      <c r="SD43" s="14"/>
      <c r="SE43" s="14"/>
      <c r="SF43" s="14"/>
      <c r="SG43" s="14"/>
      <c r="SH43" s="14"/>
      <c r="SI43" s="14"/>
    </row>
    <row r="44" spans="1:503" s="6" customFormat="1" ht="31.15" customHeight="1">
      <c r="A44" s="90"/>
      <c r="B44" s="14"/>
      <c r="C44" s="14"/>
      <c r="D44" s="102"/>
      <c r="E44" s="14"/>
      <c r="F44" s="5"/>
      <c r="G44" s="45"/>
      <c r="H44" s="45"/>
      <c r="I44" s="323"/>
      <c r="J44" s="324"/>
      <c r="K44" s="324"/>
      <c r="L44" s="301"/>
      <c r="M44" s="301"/>
      <c r="N44" s="301"/>
      <c r="O44" s="114"/>
      <c r="P44" s="107"/>
      <c r="Q44" s="107"/>
      <c r="R44" s="108"/>
      <c r="S44" s="109"/>
      <c r="T44" s="115"/>
      <c r="U44" s="14"/>
      <c r="V44" s="375"/>
      <c r="W44" s="375"/>
      <c r="X44" s="375"/>
      <c r="Y44" s="375"/>
      <c r="Z44" s="375"/>
      <c r="AA44" s="375"/>
      <c r="AB44" s="375"/>
      <c r="AC44" s="375"/>
      <c r="AD44" s="375"/>
      <c r="AE44" s="375"/>
      <c r="AF44" s="375"/>
      <c r="AG44" s="375"/>
      <c r="AH44" s="14"/>
      <c r="AI44" s="90"/>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c r="PD44" s="14"/>
      <c r="PE44" s="14"/>
      <c r="PF44" s="14"/>
      <c r="PG44" s="14"/>
      <c r="PH44" s="14"/>
      <c r="PI44" s="14"/>
      <c r="PJ44" s="14"/>
      <c r="PK44" s="14"/>
      <c r="PL44" s="14"/>
      <c r="PM44" s="14"/>
      <c r="PN44" s="14"/>
      <c r="PO44" s="14"/>
      <c r="PP44" s="14"/>
      <c r="PQ44" s="14"/>
      <c r="PR44" s="14"/>
      <c r="PS44" s="14"/>
      <c r="PT44" s="14"/>
      <c r="PU44" s="14"/>
      <c r="PV44" s="14"/>
      <c r="PW44" s="14"/>
      <c r="PX44" s="14"/>
      <c r="PY44" s="14"/>
      <c r="PZ44" s="14"/>
      <c r="QA44" s="14"/>
      <c r="QB44" s="14"/>
      <c r="QC44" s="14"/>
      <c r="QD44" s="14"/>
      <c r="QE44" s="14"/>
      <c r="QF44" s="14"/>
      <c r="QG44" s="14"/>
      <c r="QH44" s="14"/>
      <c r="QI44" s="14"/>
      <c r="QJ44" s="14"/>
      <c r="QK44" s="14"/>
      <c r="QL44" s="14"/>
      <c r="QM44" s="14"/>
      <c r="QN44" s="14"/>
      <c r="QO44" s="14"/>
      <c r="QP44" s="14"/>
      <c r="QQ44" s="14"/>
      <c r="QR44" s="14"/>
      <c r="QS44" s="14"/>
      <c r="QT44" s="14"/>
      <c r="QU44" s="14"/>
      <c r="QV44" s="14"/>
      <c r="QW44" s="14"/>
      <c r="QX44" s="14"/>
      <c r="QY44" s="14"/>
      <c r="QZ44" s="14"/>
      <c r="RA44" s="14"/>
      <c r="RB44" s="14"/>
      <c r="RC44" s="14"/>
      <c r="RD44" s="14"/>
      <c r="RE44" s="14"/>
      <c r="RF44" s="14"/>
      <c r="RG44" s="14"/>
      <c r="RH44" s="14"/>
      <c r="RI44" s="14"/>
      <c r="RJ44" s="14"/>
      <c r="RK44" s="14"/>
      <c r="RL44" s="14"/>
      <c r="RM44" s="14"/>
      <c r="RN44" s="14"/>
      <c r="RO44" s="14"/>
      <c r="RP44" s="14"/>
      <c r="RQ44" s="14"/>
      <c r="RR44" s="14"/>
      <c r="RS44" s="14"/>
      <c r="RT44" s="14"/>
      <c r="RU44" s="14"/>
      <c r="RV44" s="14"/>
      <c r="RW44" s="14"/>
      <c r="RX44" s="14"/>
      <c r="RY44" s="14"/>
      <c r="RZ44" s="14"/>
      <c r="SA44" s="14"/>
      <c r="SB44" s="14"/>
      <c r="SC44" s="14"/>
      <c r="SD44" s="14"/>
      <c r="SE44" s="14"/>
      <c r="SF44" s="14"/>
      <c r="SG44" s="14"/>
      <c r="SH44" s="14"/>
      <c r="SI44" s="14"/>
    </row>
    <row r="45" spans="1:503" s="6" customFormat="1" ht="31.15" customHeight="1">
      <c r="A45" s="90"/>
      <c r="B45" s="14"/>
      <c r="C45" s="14"/>
      <c r="D45" s="102"/>
      <c r="E45" s="14"/>
      <c r="F45" s="5"/>
      <c r="G45" s="45"/>
      <c r="H45" s="45"/>
      <c r="I45" s="323"/>
      <c r="J45" s="323"/>
      <c r="K45" s="323"/>
      <c r="L45" s="301"/>
      <c r="M45" s="301"/>
      <c r="N45" s="301"/>
      <c r="O45" s="114"/>
      <c r="P45" s="107"/>
      <c r="Q45" s="107"/>
      <c r="R45" s="108"/>
      <c r="S45" s="109"/>
      <c r="T45" s="115"/>
      <c r="U45" s="14"/>
      <c r="V45" s="375"/>
      <c r="W45" s="375"/>
      <c r="X45" s="375"/>
      <c r="Y45" s="375"/>
      <c r="Z45" s="375"/>
      <c r="AA45" s="375"/>
      <c r="AB45" s="375"/>
      <c r="AC45" s="375"/>
      <c r="AD45" s="375"/>
      <c r="AE45" s="375"/>
      <c r="AF45" s="375"/>
      <c r="AG45" s="375"/>
      <c r="AH45" s="14"/>
      <c r="AI45" s="90"/>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c r="OP45" s="14"/>
      <c r="OQ45" s="14"/>
      <c r="OR45" s="14"/>
      <c r="OS45" s="14"/>
      <c r="OT45" s="14"/>
      <c r="OU45" s="14"/>
      <c r="OV45" s="14"/>
      <c r="OW45" s="14"/>
      <c r="OX45" s="14"/>
      <c r="OY45" s="14"/>
      <c r="OZ45" s="14"/>
      <c r="PA45" s="14"/>
      <c r="PB45" s="14"/>
      <c r="PC45" s="14"/>
      <c r="PD45" s="14"/>
      <c r="PE45" s="14"/>
      <c r="PF45" s="14"/>
      <c r="PG45" s="14"/>
      <c r="PH45" s="14"/>
      <c r="PI45" s="14"/>
      <c r="PJ45" s="14"/>
      <c r="PK45" s="14"/>
      <c r="PL45" s="14"/>
      <c r="PM45" s="14"/>
      <c r="PN45" s="14"/>
      <c r="PO45" s="14"/>
      <c r="PP45" s="14"/>
      <c r="PQ45" s="14"/>
      <c r="PR45" s="14"/>
      <c r="PS45" s="14"/>
      <c r="PT45" s="14"/>
      <c r="PU45" s="14"/>
      <c r="PV45" s="14"/>
      <c r="PW45" s="14"/>
      <c r="PX45" s="14"/>
      <c r="PY45" s="14"/>
      <c r="PZ45" s="14"/>
      <c r="QA45" s="14"/>
      <c r="QB45" s="14"/>
      <c r="QC45" s="14"/>
      <c r="QD45" s="14"/>
      <c r="QE45" s="14"/>
      <c r="QF45" s="14"/>
      <c r="QG45" s="14"/>
      <c r="QH45" s="14"/>
      <c r="QI45" s="14"/>
      <c r="QJ45" s="14"/>
      <c r="QK45" s="14"/>
      <c r="QL45" s="14"/>
      <c r="QM45" s="14"/>
      <c r="QN45" s="14"/>
      <c r="QO45" s="14"/>
      <c r="QP45" s="14"/>
      <c r="QQ45" s="14"/>
      <c r="QR45" s="14"/>
      <c r="QS45" s="14"/>
      <c r="QT45" s="14"/>
      <c r="QU45" s="14"/>
      <c r="QV45" s="14"/>
      <c r="QW45" s="14"/>
      <c r="QX45" s="14"/>
      <c r="QY45" s="14"/>
      <c r="QZ45" s="14"/>
      <c r="RA45" s="14"/>
      <c r="RB45" s="14"/>
      <c r="RC45" s="14"/>
      <c r="RD45" s="14"/>
      <c r="RE45" s="14"/>
      <c r="RF45" s="14"/>
      <c r="RG45" s="14"/>
      <c r="RH45" s="14"/>
      <c r="RI45" s="14"/>
      <c r="RJ45" s="14"/>
      <c r="RK45" s="14"/>
      <c r="RL45" s="14"/>
      <c r="RM45" s="14"/>
      <c r="RN45" s="14"/>
      <c r="RO45" s="14"/>
      <c r="RP45" s="14"/>
      <c r="RQ45" s="14"/>
      <c r="RR45" s="14"/>
      <c r="RS45" s="14"/>
      <c r="RT45" s="14"/>
      <c r="RU45" s="14"/>
      <c r="RV45" s="14"/>
      <c r="RW45" s="14"/>
      <c r="RX45" s="14"/>
      <c r="RY45" s="14"/>
      <c r="RZ45" s="14"/>
      <c r="SA45" s="14"/>
      <c r="SB45" s="14"/>
      <c r="SC45" s="14"/>
      <c r="SD45" s="14"/>
      <c r="SE45" s="14"/>
      <c r="SF45" s="14"/>
      <c r="SG45" s="14"/>
      <c r="SH45" s="14"/>
      <c r="SI45" s="14"/>
    </row>
    <row r="46" spans="1:503" s="6" customFormat="1" ht="31.15" customHeight="1">
      <c r="A46" s="90"/>
      <c r="B46" s="14"/>
      <c r="C46" s="14"/>
      <c r="D46" s="102"/>
      <c r="E46" s="14"/>
      <c r="F46" s="5"/>
      <c r="G46" s="45"/>
      <c r="H46" s="45"/>
      <c r="I46" s="156"/>
      <c r="J46" s="156"/>
      <c r="K46" s="156"/>
      <c r="L46" s="313" t="s">
        <v>139</v>
      </c>
      <c r="M46" s="301"/>
      <c r="N46" s="301"/>
      <c r="O46" s="114"/>
      <c r="P46" s="107"/>
      <c r="Q46" s="107"/>
      <c r="R46" s="108"/>
      <c r="S46" s="109"/>
      <c r="T46" s="115"/>
      <c r="U46" s="14"/>
      <c r="V46" s="375"/>
      <c r="W46" s="375"/>
      <c r="X46" s="375"/>
      <c r="Y46" s="375"/>
      <c r="Z46" s="375"/>
      <c r="AA46" s="375"/>
      <c r="AB46" s="375"/>
      <c r="AC46" s="375"/>
      <c r="AD46" s="375"/>
      <c r="AE46" s="375"/>
      <c r="AF46" s="375"/>
      <c r="AG46" s="375"/>
      <c r="AH46" s="14"/>
      <c r="AI46" s="90"/>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c r="OP46" s="14"/>
      <c r="OQ46" s="14"/>
      <c r="OR46" s="14"/>
      <c r="OS46" s="14"/>
      <c r="OT46" s="14"/>
      <c r="OU46" s="14"/>
      <c r="OV46" s="14"/>
      <c r="OW46" s="14"/>
      <c r="OX46" s="14"/>
      <c r="OY46" s="14"/>
      <c r="OZ46" s="14"/>
      <c r="PA46" s="14"/>
      <c r="PB46" s="14"/>
      <c r="PC46" s="14"/>
      <c r="PD46" s="14"/>
      <c r="PE46" s="14"/>
      <c r="PF46" s="14"/>
      <c r="PG46" s="14"/>
      <c r="PH46" s="14"/>
      <c r="PI46" s="14"/>
      <c r="PJ46" s="14"/>
      <c r="PK46" s="14"/>
      <c r="PL46" s="14"/>
      <c r="PM46" s="14"/>
      <c r="PN46" s="14"/>
      <c r="PO46" s="14"/>
      <c r="PP46" s="14"/>
      <c r="PQ46" s="14"/>
      <c r="PR46" s="14"/>
      <c r="PS46" s="14"/>
      <c r="PT46" s="14"/>
      <c r="PU46" s="14"/>
      <c r="PV46" s="14"/>
      <c r="PW46" s="14"/>
      <c r="PX46" s="14"/>
      <c r="PY46" s="14"/>
      <c r="PZ46" s="14"/>
      <c r="QA46" s="14"/>
      <c r="QB46" s="14"/>
      <c r="QC46" s="14"/>
      <c r="QD46" s="14"/>
      <c r="QE46" s="14"/>
      <c r="QF46" s="14"/>
      <c r="QG46" s="14"/>
      <c r="QH46" s="14"/>
      <c r="QI46" s="14"/>
      <c r="QJ46" s="14"/>
      <c r="QK46" s="14"/>
      <c r="QL46" s="14"/>
      <c r="QM46" s="14"/>
      <c r="QN46" s="14"/>
      <c r="QO46" s="14"/>
      <c r="QP46" s="14"/>
      <c r="QQ46" s="14"/>
      <c r="QR46" s="14"/>
      <c r="QS46" s="14"/>
      <c r="QT46" s="14"/>
      <c r="QU46" s="14"/>
      <c r="QV46" s="14"/>
      <c r="QW46" s="14"/>
      <c r="QX46" s="14"/>
      <c r="QY46" s="14"/>
      <c r="QZ46" s="14"/>
      <c r="RA46" s="14"/>
      <c r="RB46" s="14"/>
      <c r="RC46" s="14"/>
      <c r="RD46" s="14"/>
      <c r="RE46" s="14"/>
      <c r="RF46" s="14"/>
      <c r="RG46" s="14"/>
      <c r="RH46" s="14"/>
      <c r="RI46" s="14"/>
      <c r="RJ46" s="14"/>
      <c r="RK46" s="14"/>
      <c r="RL46" s="14"/>
      <c r="RM46" s="14"/>
      <c r="RN46" s="14"/>
      <c r="RO46" s="14"/>
      <c r="RP46" s="14"/>
      <c r="RQ46" s="14"/>
      <c r="RR46" s="14"/>
      <c r="RS46" s="14"/>
      <c r="RT46" s="14"/>
      <c r="RU46" s="14"/>
      <c r="RV46" s="14"/>
      <c r="RW46" s="14"/>
      <c r="RX46" s="14"/>
      <c r="RY46" s="14"/>
      <c r="RZ46" s="14"/>
      <c r="SA46" s="14"/>
      <c r="SB46" s="14"/>
      <c r="SC46" s="14"/>
      <c r="SD46" s="14"/>
      <c r="SE46" s="14"/>
      <c r="SF46" s="14"/>
      <c r="SG46" s="14"/>
      <c r="SH46" s="14"/>
      <c r="SI46" s="14"/>
    </row>
    <row r="47" spans="1:503" ht="35.25" customHeight="1">
      <c r="A47" s="90"/>
      <c r="B47" s="14"/>
      <c r="C47" s="14"/>
      <c r="D47" s="102"/>
      <c r="E47" s="14"/>
      <c r="F47" s="5"/>
      <c r="G47" s="45"/>
      <c r="H47" s="45"/>
      <c r="I47" s="156"/>
      <c r="J47" s="156"/>
      <c r="K47" s="156"/>
      <c r="L47" s="301"/>
      <c r="M47" s="301"/>
      <c r="N47" s="301"/>
      <c r="O47" s="114"/>
      <c r="P47" s="107"/>
      <c r="Q47" s="107"/>
      <c r="R47" s="108"/>
      <c r="S47" s="109"/>
      <c r="T47" s="115"/>
      <c r="U47" s="14"/>
      <c r="V47" s="375"/>
      <c r="W47" s="375"/>
      <c r="X47" s="375"/>
      <c r="Y47" s="375"/>
      <c r="Z47" s="375"/>
      <c r="AA47" s="375"/>
      <c r="AB47" s="375"/>
      <c r="AC47" s="375"/>
      <c r="AD47" s="375"/>
      <c r="AE47" s="375"/>
      <c r="AF47" s="375"/>
      <c r="AG47" s="375"/>
      <c r="AH47" s="14"/>
      <c r="AI47" s="90"/>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row>
    <row r="48" spans="1:503" ht="35.25" customHeight="1">
      <c r="A48" s="90"/>
      <c r="B48" s="14"/>
      <c r="C48" s="14"/>
      <c r="D48" s="102"/>
      <c r="E48" s="14"/>
      <c r="F48" s="5"/>
      <c r="G48" s="45"/>
      <c r="H48" s="45"/>
      <c r="I48" s="156"/>
      <c r="J48" s="156"/>
      <c r="K48" s="156"/>
      <c r="L48" s="301"/>
      <c r="M48" s="301"/>
      <c r="N48" s="301"/>
      <c r="O48" s="114"/>
      <c r="P48" s="107"/>
      <c r="Q48" s="107"/>
      <c r="R48" s="108"/>
      <c r="S48" s="109"/>
      <c r="T48" s="115"/>
      <c r="U48" s="14"/>
      <c r="V48" s="375"/>
      <c r="W48" s="375"/>
      <c r="X48" s="375"/>
      <c r="Y48" s="375"/>
      <c r="Z48" s="375"/>
      <c r="AA48" s="375"/>
      <c r="AB48" s="375"/>
      <c r="AC48" s="375"/>
      <c r="AD48" s="375"/>
      <c r="AE48" s="375"/>
      <c r="AF48" s="375"/>
      <c r="AG48" s="375"/>
      <c r="AH48" s="14"/>
      <c r="AI48" s="90"/>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row>
    <row r="49" spans="1:314" ht="35.25" customHeight="1">
      <c r="A49" s="90"/>
      <c r="B49" s="14"/>
      <c r="C49" s="14"/>
      <c r="D49" s="102"/>
      <c r="E49" s="14"/>
      <c r="F49" s="5"/>
      <c r="G49" s="45"/>
      <c r="H49" s="45"/>
      <c r="I49" s="156"/>
      <c r="J49" s="156"/>
      <c r="K49" s="156"/>
      <c r="L49" s="301"/>
      <c r="M49" s="301"/>
      <c r="N49" s="301"/>
      <c r="O49" s="114"/>
      <c r="P49" s="107"/>
      <c r="Q49" s="107"/>
      <c r="R49" s="108"/>
      <c r="S49" s="109"/>
      <c r="T49" s="115"/>
      <c r="U49" s="14"/>
      <c r="V49" s="375"/>
      <c r="W49" s="375"/>
      <c r="X49" s="375"/>
      <c r="Y49" s="375"/>
      <c r="Z49" s="375"/>
      <c r="AA49" s="375"/>
      <c r="AB49" s="375"/>
      <c r="AC49" s="375"/>
      <c r="AD49" s="375"/>
      <c r="AE49" s="375"/>
      <c r="AF49" s="375"/>
      <c r="AG49" s="375"/>
      <c r="AH49" s="14"/>
      <c r="AI49" s="90"/>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row>
    <row r="50" spans="1:314" ht="35.25" customHeight="1">
      <c r="A50" s="90"/>
      <c r="B50" s="14"/>
      <c r="C50" s="14"/>
      <c r="D50" s="102"/>
      <c r="E50" s="14"/>
      <c r="F50" s="5"/>
      <c r="G50" s="45"/>
      <c r="H50" s="45"/>
      <c r="I50" s="156"/>
      <c r="J50" s="156"/>
      <c r="K50" s="156"/>
      <c r="L50" s="301"/>
      <c r="M50" s="301"/>
      <c r="N50" s="301"/>
      <c r="O50" s="114"/>
      <c r="P50" s="107"/>
      <c r="Q50" s="107"/>
      <c r="R50" s="108"/>
      <c r="S50" s="109"/>
      <c r="T50" s="115"/>
      <c r="U50" s="14"/>
      <c r="V50" s="375"/>
      <c r="W50" s="375"/>
      <c r="X50" s="375"/>
      <c r="Y50" s="375"/>
      <c r="Z50" s="375"/>
      <c r="AA50" s="375"/>
      <c r="AB50" s="375"/>
      <c r="AC50" s="375"/>
      <c r="AD50" s="375"/>
      <c r="AE50" s="375"/>
      <c r="AF50" s="375"/>
      <c r="AG50" s="375"/>
      <c r="AH50" s="14"/>
      <c r="AI50" s="90"/>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row>
    <row r="51" spans="1:314" ht="35.25" customHeight="1">
      <c r="A51" s="90"/>
      <c r="B51" s="14"/>
      <c r="C51" s="14"/>
      <c r="D51" s="102"/>
      <c r="E51" s="14"/>
      <c r="F51" s="5"/>
      <c r="G51" s="45"/>
      <c r="H51" s="45"/>
      <c r="I51" s="156"/>
      <c r="J51" s="156"/>
      <c r="K51" s="156"/>
      <c r="L51" s="301"/>
      <c r="M51" s="301"/>
      <c r="N51" s="301"/>
      <c r="O51" s="114"/>
      <c r="P51" s="107"/>
      <c r="Q51" s="107"/>
      <c r="R51" s="108"/>
      <c r="S51" s="109"/>
      <c r="T51" s="115"/>
      <c r="U51" s="14"/>
      <c r="V51" s="298"/>
      <c r="W51" s="298"/>
      <c r="X51" s="298"/>
      <c r="Y51" s="298"/>
      <c r="Z51" s="298"/>
      <c r="AA51" s="298"/>
      <c r="AB51" s="298"/>
      <c r="AC51" s="298"/>
      <c r="AD51" s="298"/>
      <c r="AE51" s="298"/>
      <c r="AF51" s="298"/>
      <c r="AG51" s="298"/>
      <c r="AH51" s="14"/>
      <c r="AI51" s="90"/>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row>
    <row r="52" spans="1:314" s="9" customFormat="1" ht="31.9" customHeight="1">
      <c r="A52" s="90"/>
      <c r="B52" s="14"/>
      <c r="C52" s="14"/>
      <c r="D52" s="102"/>
      <c r="E52" s="14"/>
      <c r="F52" s="5"/>
      <c r="G52" s="45"/>
      <c r="H52" s="45"/>
      <c r="I52" s="156"/>
      <c r="J52" s="156"/>
      <c r="K52" s="156"/>
      <c r="L52" s="301"/>
      <c r="M52" s="301"/>
      <c r="N52" s="301"/>
      <c r="O52" s="118"/>
      <c r="P52" s="111"/>
      <c r="Q52" s="111"/>
      <c r="R52" s="112"/>
      <c r="S52" s="113"/>
      <c r="T52" s="119"/>
      <c r="U52" s="14"/>
      <c r="V52" s="14"/>
      <c r="W52" s="14"/>
      <c r="X52" s="14"/>
      <c r="Y52" s="14"/>
      <c r="Z52" s="14"/>
      <c r="AA52" s="14"/>
      <c r="AB52" s="14"/>
      <c r="AC52" s="14"/>
      <c r="AD52" s="14"/>
      <c r="AE52" s="14"/>
      <c r="AF52" s="14"/>
      <c r="AG52" s="14"/>
      <c r="AH52" s="14"/>
      <c r="AI52" s="85"/>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row>
    <row r="53" spans="1:314" s="9" customFormat="1" ht="208.9" customHeight="1">
      <c r="A53" s="85"/>
      <c r="B53" s="85"/>
      <c r="C53" s="85"/>
      <c r="D53" s="85"/>
      <c r="E53" s="85"/>
      <c r="F53" s="85"/>
      <c r="G53" s="85"/>
      <c r="H53" s="85"/>
      <c r="I53" s="85"/>
      <c r="J53" s="85"/>
      <c r="K53" s="85"/>
      <c r="L53" s="307"/>
      <c r="M53" s="307"/>
      <c r="N53" s="307"/>
      <c r="O53" s="85"/>
      <c r="P53" s="85"/>
      <c r="Q53" s="85"/>
      <c r="R53" s="85"/>
      <c r="S53" s="85"/>
      <c r="T53" s="85"/>
      <c r="U53" s="85"/>
      <c r="V53" s="85"/>
      <c r="W53" s="85"/>
      <c r="X53" s="85"/>
      <c r="Y53" s="85"/>
      <c r="Z53" s="85"/>
      <c r="AA53" s="85"/>
      <c r="AB53" s="85"/>
      <c r="AC53" s="85"/>
      <c r="AD53" s="85"/>
      <c r="AE53" s="85"/>
      <c r="AF53" s="85"/>
      <c r="AG53" s="85"/>
      <c r="AH53" s="85"/>
      <c r="AI53" s="85"/>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row>
    <row r="54" spans="1:314" s="9" customFormat="1">
      <c r="F54" s="16"/>
      <c r="G54" s="16"/>
      <c r="H54" s="16"/>
      <c r="O54" s="46"/>
      <c r="P54" s="47"/>
      <c r="Q54" s="48"/>
      <c r="R54" s="49"/>
      <c r="S54" s="42"/>
      <c r="T54" s="42"/>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row>
    <row r="55" spans="1:314" s="9" customFormat="1">
      <c r="F55" s="16"/>
      <c r="G55" s="16"/>
      <c r="H55" s="16"/>
      <c r="O55" s="46"/>
      <c r="P55" s="47"/>
      <c r="Q55" s="48"/>
      <c r="R55" s="49"/>
      <c r="S55" s="42"/>
      <c r="T55" s="42"/>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row>
    <row r="56" spans="1:314" s="9" customFormat="1">
      <c r="F56" s="16"/>
      <c r="G56" s="16"/>
      <c r="H56" s="16"/>
      <c r="O56" s="46"/>
      <c r="P56" s="47"/>
      <c r="Q56" s="48"/>
      <c r="R56" s="49"/>
      <c r="S56" s="42"/>
      <c r="T56" s="42"/>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row>
    <row r="57" spans="1:314" s="9" customFormat="1">
      <c r="F57" s="16"/>
      <c r="G57" s="16"/>
      <c r="H57" s="16"/>
      <c r="O57" s="46"/>
      <c r="P57" s="47"/>
      <c r="Q57" s="48"/>
      <c r="R57" s="49"/>
      <c r="S57" s="42"/>
      <c r="T57" s="42"/>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row>
    <row r="58" spans="1:314" s="9" customFormat="1">
      <c r="F58" s="16"/>
      <c r="G58" s="16"/>
      <c r="H58" s="16"/>
      <c r="O58" s="46"/>
      <c r="P58" s="47"/>
      <c r="Q58" s="48"/>
      <c r="R58" s="49"/>
      <c r="S58" s="42"/>
      <c r="T58" s="42"/>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row>
    <row r="59" spans="1:314" s="9" customFormat="1">
      <c r="F59" s="16"/>
      <c r="G59" s="16"/>
      <c r="H59" s="16"/>
      <c r="O59" s="46"/>
      <c r="P59" s="47"/>
      <c r="Q59" s="48"/>
      <c r="R59" s="49"/>
      <c r="S59" s="42"/>
      <c r="T59" s="42"/>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row>
    <row r="60" spans="1:314" s="9" customFormat="1">
      <c r="F60" s="16"/>
      <c r="G60" s="16"/>
      <c r="H60" s="16"/>
      <c r="O60" s="46"/>
      <c r="P60" s="47"/>
      <c r="Q60" s="48"/>
      <c r="R60" s="49"/>
      <c r="S60" s="42"/>
      <c r="T60" s="42"/>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row>
    <row r="61" spans="1:314" s="9" customFormat="1">
      <c r="F61" s="16"/>
      <c r="G61" s="16"/>
      <c r="H61" s="16"/>
      <c r="O61" s="46"/>
      <c r="P61" s="47"/>
      <c r="Q61" s="48"/>
      <c r="R61" s="49"/>
      <c r="S61" s="42"/>
      <c r="T61" s="42"/>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row>
    <row r="62" spans="1:314" s="9" customFormat="1">
      <c r="F62" s="16"/>
      <c r="G62" s="16"/>
      <c r="H62" s="16"/>
      <c r="O62" s="46"/>
      <c r="P62" s="47"/>
      <c r="Q62" s="48"/>
      <c r="R62" s="49"/>
      <c r="S62" s="42"/>
      <c r="T62" s="42"/>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row>
    <row r="63" spans="1:314" s="9" customFormat="1">
      <c r="F63" s="16"/>
      <c r="G63" s="16"/>
      <c r="H63" s="16"/>
      <c r="O63" s="46"/>
      <c r="P63" s="47"/>
      <c r="Q63" s="48"/>
      <c r="R63" s="49"/>
      <c r="S63" s="42"/>
      <c r="T63" s="42"/>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row>
    <row r="64" spans="1:314" s="9" customFormat="1">
      <c r="G64" s="16"/>
      <c r="H64" s="16"/>
      <c r="O64" s="46"/>
      <c r="P64" s="47"/>
      <c r="Q64" s="48"/>
      <c r="R64" s="49"/>
      <c r="S64" s="42"/>
      <c r="T64" s="42"/>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row>
    <row r="65" spans="7:314" s="9" customFormat="1">
      <c r="G65" s="16"/>
      <c r="H65" s="16"/>
      <c r="O65" s="46"/>
      <c r="P65" s="47"/>
      <c r="Q65" s="48"/>
      <c r="R65" s="49"/>
      <c r="S65" s="42"/>
      <c r="T65" s="42"/>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row>
    <row r="66" spans="7:314" s="9" customFormat="1">
      <c r="G66" s="16"/>
      <c r="H66" s="16"/>
      <c r="O66" s="46"/>
      <c r="P66" s="47"/>
      <c r="Q66" s="48"/>
      <c r="R66" s="49"/>
      <c r="S66" s="42"/>
      <c r="T66" s="42"/>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row>
    <row r="67" spans="7:314" s="9" customFormat="1">
      <c r="G67" s="16"/>
      <c r="H67" s="16"/>
      <c r="O67" s="46"/>
      <c r="P67" s="47"/>
      <c r="Q67" s="48"/>
      <c r="R67" s="49"/>
      <c r="S67" s="42"/>
      <c r="T67" s="42"/>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row>
    <row r="68" spans="7:314" s="9" customFormat="1">
      <c r="G68" s="16"/>
      <c r="H68" s="16"/>
      <c r="O68" s="46"/>
      <c r="P68" s="47"/>
      <c r="Q68" s="48"/>
      <c r="R68" s="49"/>
      <c r="S68" s="42"/>
      <c r="T68" s="42"/>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row>
    <row r="69" spans="7:314" s="9" customFormat="1">
      <c r="G69" s="16"/>
      <c r="H69" s="16"/>
      <c r="O69" s="46"/>
      <c r="P69" s="47"/>
      <c r="Q69" s="48"/>
      <c r="R69" s="49"/>
      <c r="S69" s="42"/>
      <c r="T69" s="42"/>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row>
    <row r="70" spans="7:314" s="9" customFormat="1">
      <c r="G70" s="16"/>
      <c r="H70" s="16"/>
      <c r="O70" s="46"/>
      <c r="P70" s="47"/>
      <c r="Q70" s="48"/>
      <c r="R70" s="49"/>
      <c r="S70" s="42"/>
      <c r="T70" s="42"/>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row>
    <row r="71" spans="7:314" s="9" customFormat="1">
      <c r="G71" s="16"/>
      <c r="H71" s="16"/>
      <c r="O71" s="46"/>
      <c r="P71" s="47"/>
      <c r="Q71" s="48"/>
      <c r="R71" s="49"/>
      <c r="S71" s="42"/>
      <c r="T71" s="42"/>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row>
    <row r="72" spans="7:314" s="9" customFormat="1">
      <c r="G72" s="16"/>
      <c r="H72" s="16"/>
      <c r="O72" s="46"/>
      <c r="P72" s="47"/>
      <c r="Q72" s="48"/>
      <c r="R72" s="49"/>
      <c r="S72" s="42"/>
      <c r="T72" s="42"/>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row>
    <row r="73" spans="7:314" s="9" customFormat="1">
      <c r="G73" s="16"/>
      <c r="H73" s="16"/>
      <c r="O73" s="46"/>
      <c r="P73" s="47"/>
      <c r="Q73" s="48"/>
      <c r="R73" s="49"/>
      <c r="S73" s="42"/>
      <c r="T73" s="42"/>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row>
    <row r="74" spans="7:314" s="9" customFormat="1">
      <c r="G74" s="16"/>
      <c r="H74" s="16"/>
      <c r="O74" s="46"/>
      <c r="P74" s="47"/>
      <c r="Q74" s="48"/>
      <c r="R74" s="49"/>
      <c r="S74" s="42"/>
      <c r="T74" s="42"/>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row>
    <row r="75" spans="7:314" s="9" customFormat="1">
      <c r="G75" s="16"/>
      <c r="H75" s="16"/>
      <c r="O75" s="46"/>
      <c r="P75" s="47"/>
      <c r="Q75" s="48"/>
      <c r="R75" s="49"/>
      <c r="S75" s="42"/>
      <c r="T75" s="42"/>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row>
    <row r="76" spans="7:314" s="9" customFormat="1">
      <c r="G76" s="16"/>
      <c r="H76" s="16"/>
      <c r="O76" s="46"/>
      <c r="P76" s="47"/>
      <c r="Q76" s="42"/>
      <c r="R76" s="49"/>
      <c r="S76" s="42"/>
      <c r="T76" s="42"/>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row>
    <row r="77" spans="7:314" s="9" customFormat="1">
      <c r="G77" s="16"/>
      <c r="H77" s="16"/>
      <c r="O77" s="46"/>
      <c r="P77" s="47"/>
      <c r="Q77" s="42"/>
      <c r="R77" s="49"/>
      <c r="S77" s="42"/>
      <c r="T77" s="42"/>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row>
    <row r="78" spans="7:314" s="9" customFormat="1">
      <c r="G78" s="16"/>
      <c r="H78" s="16"/>
      <c r="O78" s="46"/>
      <c r="P78" s="47"/>
      <c r="Q78" s="42"/>
      <c r="R78" s="49"/>
      <c r="S78" s="42"/>
      <c r="T78" s="42"/>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row>
    <row r="79" spans="7:314" s="9" customFormat="1">
      <c r="G79" s="16"/>
      <c r="H79" s="16"/>
      <c r="O79" s="46"/>
      <c r="P79" s="47"/>
      <c r="Q79" s="42"/>
      <c r="R79" s="49"/>
      <c r="S79" s="42"/>
      <c r="T79" s="42"/>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row>
    <row r="80" spans="7:314" s="9" customFormat="1">
      <c r="G80" s="16"/>
      <c r="H80" s="16"/>
      <c r="O80" s="46"/>
      <c r="P80" s="47"/>
      <c r="Q80" s="42"/>
      <c r="R80" s="49"/>
      <c r="S80" s="42"/>
      <c r="T80" s="42"/>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row>
    <row r="81" spans="7:314" s="9" customFormat="1">
      <c r="G81" s="16"/>
      <c r="H81" s="16"/>
      <c r="O81" s="46"/>
      <c r="P81" s="47"/>
      <c r="Q81" s="42"/>
      <c r="R81" s="49"/>
      <c r="S81" s="42"/>
      <c r="T81" s="42"/>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row>
    <row r="82" spans="7:314" s="9" customFormat="1">
      <c r="G82" s="16"/>
      <c r="H82" s="16"/>
      <c r="O82" s="46"/>
      <c r="P82" s="47"/>
      <c r="Q82" s="42"/>
      <c r="R82" s="49"/>
      <c r="S82" s="42"/>
      <c r="T82" s="42"/>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row>
    <row r="83" spans="7:314" s="9" customFormat="1">
      <c r="G83" s="16"/>
      <c r="H83" s="16"/>
      <c r="O83" s="46"/>
      <c r="P83" s="47"/>
      <c r="Q83" s="42"/>
      <c r="R83" s="49"/>
      <c r="S83" s="42"/>
      <c r="T83" s="42"/>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row>
    <row r="84" spans="7:314" s="9" customFormat="1">
      <c r="G84" s="16"/>
      <c r="H84" s="16"/>
      <c r="O84" s="46"/>
      <c r="P84" s="47"/>
      <c r="Q84" s="42"/>
      <c r="R84" s="49"/>
      <c r="S84" s="42"/>
      <c r="T84" s="42"/>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row>
    <row r="85" spans="7:314" s="9" customFormat="1">
      <c r="G85" s="16"/>
      <c r="H85" s="16"/>
      <c r="O85" s="46"/>
      <c r="P85" s="47"/>
      <c r="Q85" s="42"/>
      <c r="R85" s="49"/>
      <c r="S85" s="42"/>
      <c r="T85" s="42"/>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row>
    <row r="86" spans="7:314" s="9" customFormat="1">
      <c r="G86" s="16"/>
      <c r="H86" s="16"/>
      <c r="O86" s="46"/>
      <c r="P86" s="47"/>
      <c r="Q86" s="42"/>
      <c r="R86" s="49"/>
      <c r="S86" s="42"/>
      <c r="T86" s="42"/>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row>
    <row r="87" spans="7:314" s="9" customFormat="1">
      <c r="G87" s="16"/>
      <c r="H87" s="16"/>
      <c r="O87" s="46"/>
      <c r="P87" s="47"/>
      <c r="Q87" s="42"/>
      <c r="R87" s="49"/>
      <c r="S87" s="42"/>
      <c r="T87" s="42"/>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row>
    <row r="88" spans="7:314" s="9" customFormat="1">
      <c r="G88" s="16"/>
      <c r="H88" s="16"/>
      <c r="O88" s="46"/>
      <c r="P88" s="47"/>
      <c r="Q88" s="42"/>
      <c r="R88" s="49"/>
      <c r="S88" s="42"/>
      <c r="T88" s="42"/>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row>
    <row r="89" spans="7:314" s="9" customFormat="1">
      <c r="G89" s="16"/>
      <c r="H89" s="16"/>
      <c r="O89" s="46"/>
      <c r="P89" s="47"/>
      <c r="Q89" s="42"/>
      <c r="R89" s="49"/>
      <c r="S89" s="42"/>
      <c r="T89" s="42"/>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row>
    <row r="90" spans="7:314" s="9" customFormat="1">
      <c r="G90" s="16"/>
      <c r="H90" s="16"/>
      <c r="O90" s="46"/>
      <c r="P90" s="47"/>
      <c r="Q90" s="42"/>
      <c r="R90" s="49"/>
      <c r="S90" s="42"/>
      <c r="T90" s="42"/>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row>
    <row r="91" spans="7:314" s="9" customFormat="1">
      <c r="G91" s="16"/>
      <c r="H91" s="16"/>
      <c r="O91" s="46"/>
      <c r="P91" s="47"/>
      <c r="Q91" s="42"/>
      <c r="R91" s="49"/>
      <c r="S91" s="42"/>
      <c r="T91" s="42"/>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row>
    <row r="92" spans="7:314" s="9" customFormat="1">
      <c r="G92" s="16"/>
      <c r="H92" s="16"/>
      <c r="O92" s="46"/>
      <c r="P92" s="47"/>
      <c r="Q92" s="42"/>
      <c r="R92" s="49"/>
      <c r="S92" s="42"/>
      <c r="T92" s="42"/>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row>
    <row r="93" spans="7:314" s="9" customFormat="1">
      <c r="G93" s="16"/>
      <c r="H93" s="16"/>
      <c r="O93" s="46"/>
      <c r="P93" s="47"/>
      <c r="Q93" s="42"/>
      <c r="R93" s="49"/>
      <c r="S93" s="42"/>
      <c r="T93" s="42"/>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row>
    <row r="94" spans="7:314" s="9" customFormat="1">
      <c r="G94" s="16"/>
      <c r="H94" s="16"/>
      <c r="O94" s="46"/>
      <c r="P94" s="47"/>
      <c r="Q94" s="42"/>
      <c r="R94" s="49"/>
      <c r="S94" s="42"/>
      <c r="T94" s="42"/>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row>
    <row r="95" spans="7:314" s="9" customFormat="1">
      <c r="G95" s="16"/>
      <c r="H95" s="16"/>
      <c r="O95" s="46"/>
      <c r="P95" s="47"/>
      <c r="Q95" s="42"/>
      <c r="R95" s="49"/>
      <c r="S95" s="42"/>
      <c r="T95" s="42"/>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row>
    <row r="96" spans="7:314" s="9" customFormat="1">
      <c r="G96" s="16"/>
      <c r="H96" s="16"/>
      <c r="O96" s="46"/>
      <c r="P96" s="47"/>
      <c r="Q96" s="42"/>
      <c r="R96" s="49"/>
      <c r="S96" s="42"/>
      <c r="T96" s="42"/>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row>
    <row r="97" spans="7:702" s="9" customFormat="1">
      <c r="G97" s="16"/>
      <c r="H97" s="16"/>
      <c r="O97" s="46"/>
      <c r="P97" s="47"/>
      <c r="Q97" s="42"/>
      <c r="R97" s="49"/>
      <c r="S97" s="42"/>
      <c r="T97" s="42"/>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row>
    <row r="98" spans="7:702" s="9" customFormat="1">
      <c r="G98" s="16"/>
      <c r="H98" s="16"/>
      <c r="O98" s="46"/>
      <c r="P98" s="47"/>
      <c r="Q98" s="42"/>
      <c r="R98" s="49"/>
      <c r="S98" s="42"/>
      <c r="T98" s="42"/>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row>
    <row r="99" spans="7:702" s="9" customFormat="1">
      <c r="G99" s="16"/>
      <c r="H99" s="16"/>
      <c r="O99" s="46"/>
      <c r="P99" s="47"/>
      <c r="Q99" s="42"/>
      <c r="R99" s="49"/>
      <c r="S99" s="42"/>
      <c r="T99" s="42"/>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row>
    <row r="100" spans="7:702" s="9" customFormat="1">
      <c r="G100" s="16"/>
      <c r="H100" s="16"/>
      <c r="O100" s="46"/>
      <c r="P100" s="47"/>
      <c r="Q100" s="42"/>
      <c r="R100" s="49"/>
      <c r="S100" s="42"/>
      <c r="T100" s="42"/>
      <c r="Z100" s="282" t="s">
        <v>150</v>
      </c>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ZZ100" s="155"/>
    </row>
    <row r="101" spans="7:702" s="9" customFormat="1">
      <c r="G101" s="16"/>
      <c r="H101" s="16"/>
      <c r="O101" s="46"/>
      <c r="P101" s="47"/>
      <c r="Q101" s="42"/>
      <c r="R101" s="49"/>
      <c r="S101" s="42"/>
      <c r="T101" s="42"/>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row>
    <row r="102" spans="7:702" s="9" customFormat="1">
      <c r="G102" s="16"/>
      <c r="H102" s="16"/>
      <c r="O102" s="46"/>
      <c r="P102" s="42"/>
      <c r="Q102" s="42"/>
      <c r="R102" s="50"/>
      <c r="S102" s="42"/>
      <c r="T102" s="42"/>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row>
    <row r="103" spans="7:702" s="9" customFormat="1">
      <c r="G103" s="16"/>
      <c r="H103" s="16"/>
      <c r="O103" s="46"/>
      <c r="P103" s="42"/>
      <c r="Q103" s="42"/>
      <c r="R103" s="50"/>
      <c r="S103" s="42"/>
      <c r="T103" s="42"/>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row>
    <row r="104" spans="7:702" s="9" customFormat="1">
      <c r="G104" s="16"/>
      <c r="H104" s="16"/>
      <c r="O104" s="46"/>
      <c r="P104" s="42"/>
      <c r="Q104" s="42"/>
      <c r="R104" s="50"/>
      <c r="S104" s="42"/>
      <c r="T104" s="42"/>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row>
    <row r="105" spans="7:702" s="9" customFormat="1">
      <c r="G105" s="16"/>
      <c r="H105" s="16"/>
      <c r="O105" s="46"/>
      <c r="P105" s="42"/>
      <c r="Q105" s="42"/>
      <c r="R105" s="50"/>
      <c r="S105" s="42"/>
      <c r="T105" s="42"/>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row>
    <row r="106" spans="7:702" s="9" customFormat="1">
      <c r="G106" s="16"/>
      <c r="H106" s="16"/>
      <c r="O106" s="46"/>
      <c r="P106" s="42"/>
      <c r="Q106" s="42"/>
      <c r="R106" s="50"/>
      <c r="S106" s="42"/>
      <c r="T106" s="42"/>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row>
    <row r="107" spans="7:702" s="9" customFormat="1">
      <c r="G107" s="16"/>
      <c r="H107" s="16"/>
      <c r="O107" s="46"/>
      <c r="P107" s="42"/>
      <c r="Q107" s="42"/>
      <c r="R107" s="50"/>
      <c r="S107" s="42"/>
      <c r="T107" s="42"/>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c r="KO107" s="14"/>
      <c r="KP107" s="14"/>
      <c r="KQ107" s="14"/>
      <c r="KR107" s="14"/>
      <c r="KS107" s="14"/>
      <c r="KT107" s="14"/>
      <c r="KU107" s="14"/>
      <c r="KV107" s="14"/>
      <c r="KW107" s="14"/>
      <c r="KX107" s="14"/>
      <c r="KY107" s="14"/>
      <c r="KZ107" s="14"/>
      <c r="LA107" s="14"/>
      <c r="LB107" s="14"/>
    </row>
    <row r="108" spans="7:702" s="9" customFormat="1">
      <c r="G108" s="16"/>
      <c r="H108" s="16"/>
      <c r="O108" s="46"/>
      <c r="P108" s="42"/>
      <c r="Q108" s="42"/>
      <c r="R108" s="50"/>
      <c r="S108" s="42"/>
      <c r="T108" s="42"/>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c r="KO108" s="14"/>
      <c r="KP108" s="14"/>
      <c r="KQ108" s="14"/>
      <c r="KR108" s="14"/>
      <c r="KS108" s="14"/>
      <c r="KT108" s="14"/>
      <c r="KU108" s="14"/>
      <c r="KV108" s="14"/>
      <c r="KW108" s="14"/>
      <c r="KX108" s="14"/>
      <c r="KY108" s="14"/>
      <c r="KZ108" s="14"/>
      <c r="LA108" s="14"/>
      <c r="LB108" s="14"/>
    </row>
    <row r="109" spans="7:702" s="9" customFormat="1">
      <c r="G109" s="16"/>
      <c r="H109" s="16"/>
      <c r="O109" s="46"/>
      <c r="P109" s="42"/>
      <c r="Q109" s="42"/>
      <c r="R109" s="50"/>
      <c r="S109" s="42"/>
      <c r="T109" s="42"/>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c r="KO109" s="14"/>
      <c r="KP109" s="14"/>
      <c r="KQ109" s="14"/>
      <c r="KR109" s="14"/>
      <c r="KS109" s="14"/>
      <c r="KT109" s="14"/>
      <c r="KU109" s="14"/>
      <c r="KV109" s="14"/>
      <c r="KW109" s="14"/>
      <c r="KX109" s="14"/>
      <c r="KY109" s="14"/>
      <c r="KZ109" s="14"/>
      <c r="LA109" s="14"/>
      <c r="LB109" s="14"/>
    </row>
    <row r="110" spans="7:702" s="9" customFormat="1">
      <c r="G110" s="16"/>
      <c r="H110" s="16"/>
      <c r="O110" s="46"/>
      <c r="P110" s="42"/>
      <c r="Q110" s="42"/>
      <c r="R110" s="50"/>
      <c r="S110" s="42"/>
      <c r="T110" s="42"/>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c r="KO110" s="14"/>
      <c r="KP110" s="14"/>
      <c r="KQ110" s="14"/>
      <c r="KR110" s="14"/>
      <c r="KS110" s="14"/>
      <c r="KT110" s="14"/>
      <c r="KU110" s="14"/>
      <c r="KV110" s="14"/>
      <c r="KW110" s="14"/>
      <c r="KX110" s="14"/>
      <c r="KY110" s="14"/>
      <c r="KZ110" s="14"/>
      <c r="LA110" s="14"/>
      <c r="LB110" s="14"/>
    </row>
    <row r="111" spans="7:702" s="9" customFormat="1">
      <c r="G111" s="16"/>
      <c r="H111" s="16"/>
      <c r="O111" s="46"/>
      <c r="P111" s="42"/>
      <c r="Q111" s="42"/>
      <c r="R111" s="50"/>
      <c r="S111" s="42"/>
      <c r="T111" s="42"/>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c r="KO111" s="14"/>
      <c r="KP111" s="14"/>
      <c r="KQ111" s="14"/>
      <c r="KR111" s="14"/>
      <c r="KS111" s="14"/>
      <c r="KT111" s="14"/>
      <c r="KU111" s="14"/>
      <c r="KV111" s="14"/>
      <c r="KW111" s="14"/>
      <c r="KX111" s="14"/>
      <c r="KY111" s="14"/>
      <c r="KZ111" s="14"/>
      <c r="LA111" s="14"/>
      <c r="LB111" s="14"/>
    </row>
    <row r="112" spans="7:702" s="9" customFormat="1">
      <c r="G112" s="16"/>
      <c r="H112" s="16"/>
      <c r="O112" s="46"/>
      <c r="P112" s="42"/>
      <c r="Q112" s="42"/>
      <c r="R112" s="50"/>
      <c r="S112" s="42"/>
      <c r="T112" s="42"/>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c r="KO112" s="14"/>
      <c r="KP112" s="14"/>
      <c r="KQ112" s="14"/>
      <c r="KR112" s="14"/>
      <c r="KS112" s="14"/>
      <c r="KT112" s="14"/>
      <c r="KU112" s="14"/>
      <c r="KV112" s="14"/>
      <c r="KW112" s="14"/>
      <c r="KX112" s="14"/>
      <c r="KY112" s="14"/>
      <c r="KZ112" s="14"/>
      <c r="LA112" s="14"/>
      <c r="LB112" s="14"/>
    </row>
    <row r="113" spans="7:314" s="9" customFormat="1">
      <c r="G113" s="16"/>
      <c r="H113" s="16"/>
      <c r="O113" s="46"/>
      <c r="P113" s="42"/>
      <c r="Q113" s="42"/>
      <c r="R113" s="50"/>
      <c r="S113" s="42"/>
      <c r="T113" s="42"/>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c r="KO113" s="14"/>
      <c r="KP113" s="14"/>
      <c r="KQ113" s="14"/>
      <c r="KR113" s="14"/>
      <c r="KS113" s="14"/>
      <c r="KT113" s="14"/>
      <c r="KU113" s="14"/>
      <c r="KV113" s="14"/>
      <c r="KW113" s="14"/>
      <c r="KX113" s="14"/>
      <c r="KY113" s="14"/>
      <c r="KZ113" s="14"/>
      <c r="LA113" s="14"/>
      <c r="LB113" s="14"/>
    </row>
    <row r="114" spans="7:314" s="9" customFormat="1">
      <c r="G114" s="16"/>
      <c r="H114" s="16"/>
      <c r="O114" s="46"/>
      <c r="P114" s="42"/>
      <c r="Q114" s="42"/>
      <c r="R114" s="50"/>
      <c r="S114" s="42"/>
      <c r="T114" s="42"/>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c r="KO114" s="14"/>
      <c r="KP114" s="14"/>
      <c r="KQ114" s="14"/>
      <c r="KR114" s="14"/>
      <c r="KS114" s="14"/>
      <c r="KT114" s="14"/>
      <c r="KU114" s="14"/>
      <c r="KV114" s="14"/>
      <c r="KW114" s="14"/>
      <c r="KX114" s="14"/>
      <c r="KY114" s="14"/>
      <c r="KZ114" s="14"/>
      <c r="LA114" s="14"/>
      <c r="LB114" s="14"/>
    </row>
    <row r="115" spans="7:314" s="9" customFormat="1">
      <c r="G115" s="16"/>
      <c r="H115" s="16"/>
      <c r="O115" s="46"/>
      <c r="P115" s="42"/>
      <c r="Q115" s="42"/>
      <c r="R115" s="50"/>
      <c r="S115" s="42"/>
      <c r="T115" s="42"/>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c r="KO115" s="14"/>
      <c r="KP115" s="14"/>
      <c r="KQ115" s="14"/>
      <c r="KR115" s="14"/>
      <c r="KS115" s="14"/>
      <c r="KT115" s="14"/>
      <c r="KU115" s="14"/>
      <c r="KV115" s="14"/>
      <c r="KW115" s="14"/>
      <c r="KX115" s="14"/>
      <c r="KY115" s="14"/>
      <c r="KZ115" s="14"/>
      <c r="LA115" s="14"/>
      <c r="LB115" s="14"/>
    </row>
    <row r="116" spans="7:314" s="9" customFormat="1">
      <c r="G116" s="16"/>
      <c r="H116" s="16"/>
      <c r="O116" s="46"/>
      <c r="P116" s="42"/>
      <c r="Q116" s="42"/>
      <c r="R116" s="50"/>
      <c r="S116" s="42"/>
      <c r="T116" s="42"/>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c r="KO116" s="14"/>
      <c r="KP116" s="14"/>
      <c r="KQ116" s="14"/>
      <c r="KR116" s="14"/>
      <c r="KS116" s="14"/>
      <c r="KT116" s="14"/>
      <c r="KU116" s="14"/>
      <c r="KV116" s="14"/>
      <c r="KW116" s="14"/>
      <c r="KX116" s="14"/>
      <c r="KY116" s="14"/>
      <c r="KZ116" s="14"/>
      <c r="LA116" s="14"/>
      <c r="LB116" s="14"/>
    </row>
    <row r="117" spans="7:314" s="9" customFormat="1">
      <c r="G117" s="16"/>
      <c r="H117" s="16"/>
      <c r="O117" s="46"/>
      <c r="P117" s="42"/>
      <c r="Q117" s="42"/>
      <c r="R117" s="50"/>
      <c r="S117" s="42"/>
      <c r="T117" s="42"/>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c r="KO117" s="14"/>
      <c r="KP117" s="14"/>
      <c r="KQ117" s="14"/>
      <c r="KR117" s="14"/>
      <c r="KS117" s="14"/>
      <c r="KT117" s="14"/>
      <c r="KU117" s="14"/>
      <c r="KV117" s="14"/>
      <c r="KW117" s="14"/>
      <c r="KX117" s="14"/>
      <c r="KY117" s="14"/>
      <c r="KZ117" s="14"/>
      <c r="LA117" s="14"/>
      <c r="LB117" s="14"/>
    </row>
    <row r="118" spans="7:314" s="9" customFormat="1">
      <c r="G118" s="16"/>
      <c r="H118" s="16"/>
      <c r="O118" s="46"/>
      <c r="P118" s="42"/>
      <c r="Q118" s="42"/>
      <c r="R118" s="50"/>
      <c r="S118" s="42"/>
      <c r="T118" s="42"/>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c r="KO118" s="14"/>
      <c r="KP118" s="14"/>
      <c r="KQ118" s="14"/>
      <c r="KR118" s="14"/>
      <c r="KS118" s="14"/>
      <c r="KT118" s="14"/>
      <c r="KU118" s="14"/>
      <c r="KV118" s="14"/>
      <c r="KW118" s="14"/>
      <c r="KX118" s="14"/>
      <c r="KY118" s="14"/>
      <c r="KZ118" s="14"/>
      <c r="LA118" s="14"/>
      <c r="LB118" s="14"/>
    </row>
    <row r="119" spans="7:314" s="9" customFormat="1">
      <c r="G119" s="16"/>
      <c r="H119" s="16"/>
      <c r="O119" s="46"/>
      <c r="P119" s="42"/>
      <c r="Q119" s="42"/>
      <c r="R119" s="50"/>
      <c r="S119" s="42"/>
      <c r="T119" s="42"/>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c r="KO119" s="14"/>
      <c r="KP119" s="14"/>
      <c r="KQ119" s="14"/>
      <c r="KR119" s="14"/>
      <c r="KS119" s="14"/>
      <c r="KT119" s="14"/>
      <c r="KU119" s="14"/>
      <c r="KV119" s="14"/>
      <c r="KW119" s="14"/>
      <c r="KX119" s="14"/>
      <c r="KY119" s="14"/>
      <c r="KZ119" s="14"/>
      <c r="LA119" s="14"/>
      <c r="LB119" s="14"/>
    </row>
    <row r="120" spans="7:314" s="9" customFormat="1">
      <c r="G120" s="16"/>
      <c r="H120" s="16"/>
      <c r="O120" s="46"/>
      <c r="P120" s="42"/>
      <c r="Q120" s="42"/>
      <c r="R120" s="50"/>
      <c r="S120" s="42"/>
      <c r="T120" s="42"/>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c r="KO120" s="14"/>
      <c r="KP120" s="14"/>
      <c r="KQ120" s="14"/>
      <c r="KR120" s="14"/>
      <c r="KS120" s="14"/>
      <c r="KT120" s="14"/>
      <c r="KU120" s="14"/>
      <c r="KV120" s="14"/>
      <c r="KW120" s="14"/>
      <c r="KX120" s="14"/>
      <c r="KY120" s="14"/>
      <c r="KZ120" s="14"/>
      <c r="LA120" s="14"/>
      <c r="LB120" s="14"/>
    </row>
    <row r="121" spans="7:314" s="9" customFormat="1">
      <c r="G121" s="16"/>
      <c r="H121" s="16"/>
      <c r="O121" s="46"/>
      <c r="P121" s="42"/>
      <c r="Q121" s="42"/>
      <c r="R121" s="50"/>
      <c r="S121" s="42"/>
      <c r="T121" s="42"/>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c r="KO121" s="14"/>
      <c r="KP121" s="14"/>
      <c r="KQ121" s="14"/>
      <c r="KR121" s="14"/>
      <c r="KS121" s="14"/>
      <c r="KT121" s="14"/>
      <c r="KU121" s="14"/>
      <c r="KV121" s="14"/>
      <c r="KW121" s="14"/>
      <c r="KX121" s="14"/>
      <c r="KY121" s="14"/>
      <c r="KZ121" s="14"/>
      <c r="LA121" s="14"/>
      <c r="LB121" s="14"/>
    </row>
    <row r="122" spans="7:314" s="9" customFormat="1">
      <c r="G122" s="16"/>
      <c r="H122" s="16"/>
      <c r="O122" s="46"/>
      <c r="P122" s="42"/>
      <c r="Q122" s="42"/>
      <c r="R122" s="50"/>
      <c r="S122" s="42"/>
      <c r="T122" s="42"/>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c r="KO122" s="14"/>
      <c r="KP122" s="14"/>
      <c r="KQ122" s="14"/>
      <c r="KR122" s="14"/>
      <c r="KS122" s="14"/>
      <c r="KT122" s="14"/>
      <c r="KU122" s="14"/>
      <c r="KV122" s="14"/>
      <c r="KW122" s="14"/>
      <c r="KX122" s="14"/>
      <c r="KY122" s="14"/>
      <c r="KZ122" s="14"/>
      <c r="LA122" s="14"/>
      <c r="LB122" s="14"/>
    </row>
    <row r="123" spans="7:314" s="9" customFormat="1">
      <c r="G123" s="16"/>
      <c r="H123" s="16"/>
      <c r="O123" s="46"/>
      <c r="P123" s="42"/>
      <c r="Q123" s="42"/>
      <c r="R123" s="50"/>
      <c r="S123" s="42"/>
      <c r="T123" s="42"/>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c r="KO123" s="14"/>
      <c r="KP123" s="14"/>
      <c r="KQ123" s="14"/>
      <c r="KR123" s="14"/>
      <c r="KS123" s="14"/>
      <c r="KT123" s="14"/>
      <c r="KU123" s="14"/>
      <c r="KV123" s="14"/>
      <c r="KW123" s="14"/>
      <c r="KX123" s="14"/>
      <c r="KY123" s="14"/>
      <c r="KZ123" s="14"/>
      <c r="LA123" s="14"/>
      <c r="LB123" s="14"/>
    </row>
    <row r="124" spans="7:314" s="9" customFormat="1">
      <c r="G124" s="16"/>
      <c r="H124" s="16"/>
      <c r="O124" s="46"/>
      <c r="P124" s="42"/>
      <c r="Q124" s="42"/>
      <c r="R124" s="50"/>
      <c r="S124" s="42"/>
      <c r="T124" s="42"/>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c r="KO124" s="14"/>
      <c r="KP124" s="14"/>
      <c r="KQ124" s="14"/>
      <c r="KR124" s="14"/>
      <c r="KS124" s="14"/>
      <c r="KT124" s="14"/>
      <c r="KU124" s="14"/>
      <c r="KV124" s="14"/>
      <c r="KW124" s="14"/>
      <c r="KX124" s="14"/>
      <c r="KY124" s="14"/>
      <c r="KZ124" s="14"/>
      <c r="LA124" s="14"/>
      <c r="LB124" s="14"/>
    </row>
    <row r="125" spans="7:314" s="9" customFormat="1">
      <c r="G125" s="16"/>
      <c r="H125" s="16"/>
      <c r="O125" s="46"/>
      <c r="P125" s="42"/>
      <c r="Q125" s="42"/>
      <c r="R125" s="50"/>
      <c r="S125" s="42"/>
      <c r="T125" s="42"/>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c r="KO125" s="14"/>
      <c r="KP125" s="14"/>
      <c r="KQ125" s="14"/>
      <c r="KR125" s="14"/>
      <c r="KS125" s="14"/>
      <c r="KT125" s="14"/>
      <c r="KU125" s="14"/>
      <c r="KV125" s="14"/>
      <c r="KW125" s="14"/>
      <c r="KX125" s="14"/>
      <c r="KY125" s="14"/>
      <c r="KZ125" s="14"/>
      <c r="LA125" s="14"/>
      <c r="LB125" s="14"/>
    </row>
    <row r="126" spans="7:314" s="9" customFormat="1">
      <c r="G126" s="16"/>
      <c r="H126" s="16"/>
      <c r="O126" s="46"/>
      <c r="P126" s="42"/>
      <c r="Q126" s="42"/>
      <c r="R126" s="50"/>
      <c r="S126" s="42"/>
      <c r="T126" s="42"/>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c r="KO126" s="14"/>
      <c r="KP126" s="14"/>
      <c r="KQ126" s="14"/>
      <c r="KR126" s="14"/>
      <c r="KS126" s="14"/>
      <c r="KT126" s="14"/>
      <c r="KU126" s="14"/>
      <c r="KV126" s="14"/>
      <c r="KW126" s="14"/>
      <c r="KX126" s="14"/>
      <c r="KY126" s="14"/>
      <c r="KZ126" s="14"/>
      <c r="LA126" s="14"/>
      <c r="LB126" s="14"/>
    </row>
    <row r="127" spans="7:314" s="9" customFormat="1">
      <c r="G127" s="16"/>
      <c r="H127" s="16"/>
      <c r="O127" s="46"/>
      <c r="P127" s="42"/>
      <c r="Q127" s="42"/>
      <c r="R127" s="50"/>
      <c r="S127" s="42"/>
      <c r="T127" s="42"/>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c r="KO127" s="14"/>
      <c r="KP127" s="14"/>
      <c r="KQ127" s="14"/>
      <c r="KR127" s="14"/>
      <c r="KS127" s="14"/>
      <c r="KT127" s="14"/>
      <c r="KU127" s="14"/>
      <c r="KV127" s="14"/>
      <c r="KW127" s="14"/>
      <c r="KX127" s="14"/>
      <c r="KY127" s="14"/>
      <c r="KZ127" s="14"/>
      <c r="LA127" s="14"/>
      <c r="LB127" s="14"/>
    </row>
    <row r="128" spans="7:314" s="9" customFormat="1">
      <c r="G128" s="16"/>
      <c r="H128" s="16"/>
      <c r="O128" s="46"/>
      <c r="P128" s="42"/>
      <c r="Q128" s="42"/>
      <c r="R128" s="50"/>
      <c r="S128" s="42"/>
      <c r="T128" s="42"/>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c r="KO128" s="14"/>
      <c r="KP128" s="14"/>
      <c r="KQ128" s="14"/>
      <c r="KR128" s="14"/>
      <c r="KS128" s="14"/>
      <c r="KT128" s="14"/>
      <c r="KU128" s="14"/>
      <c r="KV128" s="14"/>
      <c r="KW128" s="14"/>
      <c r="KX128" s="14"/>
      <c r="KY128" s="14"/>
      <c r="KZ128" s="14"/>
      <c r="LA128" s="14"/>
      <c r="LB128" s="14"/>
    </row>
    <row r="129" spans="7:314" s="9" customFormat="1">
      <c r="G129" s="16"/>
      <c r="H129" s="16"/>
      <c r="O129" s="46"/>
      <c r="P129" s="42"/>
      <c r="Q129" s="42"/>
      <c r="R129" s="50"/>
      <c r="S129" s="42"/>
      <c r="T129" s="42"/>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c r="KO129" s="14"/>
      <c r="KP129" s="14"/>
      <c r="KQ129" s="14"/>
      <c r="KR129" s="14"/>
      <c r="KS129" s="14"/>
      <c r="KT129" s="14"/>
      <c r="KU129" s="14"/>
      <c r="KV129" s="14"/>
      <c r="KW129" s="14"/>
      <c r="KX129" s="14"/>
      <c r="KY129" s="14"/>
      <c r="KZ129" s="14"/>
      <c r="LA129" s="14"/>
      <c r="LB129" s="14"/>
    </row>
    <row r="130" spans="7:314" s="9" customFormat="1">
      <c r="G130" s="16"/>
      <c r="H130" s="16"/>
      <c r="O130" s="46"/>
      <c r="P130" s="42"/>
      <c r="Q130" s="42"/>
      <c r="R130" s="50"/>
      <c r="S130" s="42"/>
      <c r="T130" s="42"/>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c r="KO130" s="14"/>
      <c r="KP130" s="14"/>
      <c r="KQ130" s="14"/>
      <c r="KR130" s="14"/>
      <c r="KS130" s="14"/>
      <c r="KT130" s="14"/>
      <c r="KU130" s="14"/>
      <c r="KV130" s="14"/>
      <c r="KW130" s="14"/>
      <c r="KX130" s="14"/>
      <c r="KY130" s="14"/>
      <c r="KZ130" s="14"/>
      <c r="LA130" s="14"/>
      <c r="LB130" s="14"/>
    </row>
    <row r="131" spans="7:314" s="9" customFormat="1">
      <c r="G131" s="16"/>
      <c r="H131" s="16"/>
      <c r="O131" s="46"/>
      <c r="P131" s="42"/>
      <c r="Q131" s="42"/>
      <c r="R131" s="50"/>
      <c r="S131" s="42"/>
      <c r="T131" s="42"/>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c r="KO131" s="14"/>
      <c r="KP131" s="14"/>
      <c r="KQ131" s="14"/>
      <c r="KR131" s="14"/>
      <c r="KS131" s="14"/>
      <c r="KT131" s="14"/>
      <c r="KU131" s="14"/>
      <c r="KV131" s="14"/>
      <c r="KW131" s="14"/>
      <c r="KX131" s="14"/>
      <c r="KY131" s="14"/>
      <c r="KZ131" s="14"/>
      <c r="LA131" s="14"/>
      <c r="LB131" s="14"/>
    </row>
    <row r="132" spans="7:314" s="9" customFormat="1">
      <c r="G132" s="16"/>
      <c r="H132" s="16"/>
      <c r="O132" s="46"/>
      <c r="P132" s="42"/>
      <c r="Q132" s="42"/>
      <c r="R132" s="50"/>
      <c r="S132" s="42"/>
      <c r="T132" s="42"/>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c r="KO132" s="14"/>
      <c r="KP132" s="14"/>
      <c r="KQ132" s="14"/>
      <c r="KR132" s="14"/>
      <c r="KS132" s="14"/>
      <c r="KT132" s="14"/>
      <c r="KU132" s="14"/>
      <c r="KV132" s="14"/>
      <c r="KW132" s="14"/>
      <c r="KX132" s="14"/>
      <c r="KY132" s="14"/>
      <c r="KZ132" s="14"/>
      <c r="LA132" s="14"/>
      <c r="LB132" s="14"/>
    </row>
    <row r="133" spans="7:314" s="9" customFormat="1">
      <c r="G133" s="16"/>
      <c r="H133" s="16"/>
      <c r="O133" s="46"/>
      <c r="P133" s="42"/>
      <c r="Q133" s="42"/>
      <c r="R133" s="50"/>
      <c r="S133" s="42"/>
      <c r="T133" s="42"/>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c r="KO133" s="14"/>
      <c r="KP133" s="14"/>
      <c r="KQ133" s="14"/>
      <c r="KR133" s="14"/>
      <c r="KS133" s="14"/>
      <c r="KT133" s="14"/>
      <c r="KU133" s="14"/>
      <c r="KV133" s="14"/>
      <c r="KW133" s="14"/>
      <c r="KX133" s="14"/>
      <c r="KY133" s="14"/>
      <c r="KZ133" s="14"/>
      <c r="LA133" s="14"/>
      <c r="LB133" s="14"/>
    </row>
    <row r="134" spans="7:314" s="9" customFormat="1">
      <c r="G134" s="16"/>
      <c r="H134" s="16"/>
      <c r="O134" s="46"/>
      <c r="P134" s="42"/>
      <c r="Q134" s="42"/>
      <c r="R134" s="50"/>
      <c r="S134" s="42"/>
      <c r="T134" s="42"/>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c r="KO134" s="14"/>
      <c r="KP134" s="14"/>
      <c r="KQ134" s="14"/>
      <c r="KR134" s="14"/>
      <c r="KS134" s="14"/>
      <c r="KT134" s="14"/>
      <c r="KU134" s="14"/>
      <c r="KV134" s="14"/>
      <c r="KW134" s="14"/>
      <c r="KX134" s="14"/>
      <c r="KY134" s="14"/>
      <c r="KZ134" s="14"/>
      <c r="LA134" s="14"/>
      <c r="LB134" s="14"/>
    </row>
    <row r="135" spans="7:314" s="9" customFormat="1">
      <c r="G135" s="16"/>
      <c r="H135" s="16"/>
      <c r="O135" s="46"/>
      <c r="P135" s="42"/>
      <c r="Q135" s="42"/>
      <c r="R135" s="50"/>
      <c r="S135" s="42"/>
      <c r="T135" s="42"/>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c r="KO135" s="14"/>
      <c r="KP135" s="14"/>
      <c r="KQ135" s="14"/>
      <c r="KR135" s="14"/>
      <c r="KS135" s="14"/>
      <c r="KT135" s="14"/>
      <c r="KU135" s="14"/>
      <c r="KV135" s="14"/>
      <c r="KW135" s="14"/>
      <c r="KX135" s="14"/>
      <c r="KY135" s="14"/>
      <c r="KZ135" s="14"/>
      <c r="LA135" s="14"/>
      <c r="LB135" s="14"/>
    </row>
    <row r="136" spans="7:314" s="9" customFormat="1">
      <c r="G136" s="16"/>
      <c r="H136" s="16"/>
      <c r="O136" s="46"/>
      <c r="P136" s="42"/>
      <c r="Q136" s="42"/>
      <c r="R136" s="50"/>
      <c r="S136" s="42"/>
      <c r="T136" s="42"/>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c r="KO136" s="14"/>
      <c r="KP136" s="14"/>
      <c r="KQ136" s="14"/>
      <c r="KR136" s="14"/>
      <c r="KS136" s="14"/>
      <c r="KT136" s="14"/>
      <c r="KU136" s="14"/>
      <c r="KV136" s="14"/>
      <c r="KW136" s="14"/>
      <c r="KX136" s="14"/>
      <c r="KY136" s="14"/>
      <c r="KZ136" s="14"/>
      <c r="LA136" s="14"/>
      <c r="LB136" s="14"/>
    </row>
    <row r="137" spans="7:314" s="9" customFormat="1">
      <c r="G137" s="16"/>
      <c r="H137" s="16"/>
      <c r="O137" s="46"/>
      <c r="P137" s="42"/>
      <c r="Q137" s="42"/>
      <c r="R137" s="50"/>
      <c r="S137" s="42"/>
      <c r="T137" s="42"/>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c r="KO137" s="14"/>
      <c r="KP137" s="14"/>
      <c r="KQ137" s="14"/>
      <c r="KR137" s="14"/>
      <c r="KS137" s="14"/>
      <c r="KT137" s="14"/>
      <c r="KU137" s="14"/>
      <c r="KV137" s="14"/>
      <c r="KW137" s="14"/>
      <c r="KX137" s="14"/>
      <c r="KY137" s="14"/>
      <c r="KZ137" s="14"/>
      <c r="LA137" s="14"/>
      <c r="LB137" s="14"/>
    </row>
    <row r="138" spans="7:314" s="9" customFormat="1">
      <c r="G138" s="16"/>
      <c r="H138" s="16"/>
      <c r="O138" s="46"/>
      <c r="P138" s="42"/>
      <c r="Q138" s="42"/>
      <c r="R138" s="50"/>
      <c r="S138" s="42"/>
      <c r="T138" s="42"/>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c r="KO138" s="14"/>
      <c r="KP138" s="14"/>
      <c r="KQ138" s="14"/>
      <c r="KR138" s="14"/>
      <c r="KS138" s="14"/>
      <c r="KT138" s="14"/>
      <c r="KU138" s="14"/>
      <c r="KV138" s="14"/>
      <c r="KW138" s="14"/>
      <c r="KX138" s="14"/>
      <c r="KY138" s="14"/>
      <c r="KZ138" s="14"/>
      <c r="LA138" s="14"/>
      <c r="LB138" s="14"/>
    </row>
    <row r="139" spans="7:314" s="9" customFormat="1">
      <c r="G139" s="16"/>
      <c r="H139" s="16"/>
      <c r="O139" s="46"/>
      <c r="P139" s="42"/>
      <c r="Q139" s="42"/>
      <c r="R139" s="50"/>
      <c r="S139" s="42"/>
      <c r="T139" s="42"/>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c r="KO139" s="14"/>
      <c r="KP139" s="14"/>
      <c r="KQ139" s="14"/>
      <c r="KR139" s="14"/>
      <c r="KS139" s="14"/>
      <c r="KT139" s="14"/>
      <c r="KU139" s="14"/>
      <c r="KV139" s="14"/>
      <c r="KW139" s="14"/>
      <c r="KX139" s="14"/>
      <c r="KY139" s="14"/>
      <c r="KZ139" s="14"/>
      <c r="LA139" s="14"/>
      <c r="LB139" s="14"/>
    </row>
    <row r="140" spans="7:314" s="9" customFormat="1">
      <c r="G140" s="16"/>
      <c r="H140" s="16"/>
      <c r="O140" s="46"/>
      <c r="P140" s="42"/>
      <c r="Q140" s="42"/>
      <c r="R140" s="50"/>
      <c r="S140" s="42"/>
      <c r="T140" s="42"/>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c r="KO140" s="14"/>
      <c r="KP140" s="14"/>
      <c r="KQ140" s="14"/>
      <c r="KR140" s="14"/>
      <c r="KS140" s="14"/>
      <c r="KT140" s="14"/>
      <c r="KU140" s="14"/>
      <c r="KV140" s="14"/>
      <c r="KW140" s="14"/>
      <c r="KX140" s="14"/>
      <c r="KY140" s="14"/>
      <c r="KZ140" s="14"/>
      <c r="LA140" s="14"/>
      <c r="LB140" s="14"/>
    </row>
    <row r="141" spans="7:314" s="9" customFormat="1">
      <c r="G141" s="16"/>
      <c r="H141" s="16"/>
      <c r="O141" s="46"/>
      <c r="P141" s="42"/>
      <c r="Q141" s="42"/>
      <c r="R141" s="50"/>
      <c r="S141" s="42"/>
      <c r="T141" s="42"/>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c r="KO141" s="14"/>
      <c r="KP141" s="14"/>
      <c r="KQ141" s="14"/>
      <c r="KR141" s="14"/>
      <c r="KS141" s="14"/>
      <c r="KT141" s="14"/>
      <c r="KU141" s="14"/>
      <c r="KV141" s="14"/>
      <c r="KW141" s="14"/>
      <c r="KX141" s="14"/>
      <c r="KY141" s="14"/>
      <c r="KZ141" s="14"/>
      <c r="LA141" s="14"/>
      <c r="LB141" s="14"/>
    </row>
    <row r="142" spans="7:314" s="9" customFormat="1">
      <c r="G142" s="16"/>
      <c r="H142" s="16"/>
      <c r="O142" s="46"/>
      <c r="P142" s="42"/>
      <c r="Q142" s="42"/>
      <c r="R142" s="50"/>
      <c r="S142" s="42"/>
      <c r="T142" s="42"/>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c r="KO142" s="14"/>
      <c r="KP142" s="14"/>
      <c r="KQ142" s="14"/>
      <c r="KR142" s="14"/>
      <c r="KS142" s="14"/>
      <c r="KT142" s="14"/>
      <c r="KU142" s="14"/>
      <c r="KV142" s="14"/>
      <c r="KW142" s="14"/>
      <c r="KX142" s="14"/>
      <c r="KY142" s="14"/>
      <c r="KZ142" s="14"/>
      <c r="LA142" s="14"/>
      <c r="LB142" s="14"/>
    </row>
    <row r="143" spans="7:314" s="9" customFormat="1">
      <c r="G143" s="16"/>
      <c r="H143" s="16"/>
      <c r="O143" s="46"/>
      <c r="P143" s="42"/>
      <c r="Q143" s="42"/>
      <c r="R143" s="50"/>
      <c r="S143" s="42"/>
      <c r="T143" s="42"/>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c r="KO143" s="14"/>
      <c r="KP143" s="14"/>
      <c r="KQ143" s="14"/>
      <c r="KR143" s="14"/>
      <c r="KS143" s="14"/>
      <c r="KT143" s="14"/>
      <c r="KU143" s="14"/>
      <c r="KV143" s="14"/>
      <c r="KW143" s="14"/>
      <c r="KX143" s="14"/>
      <c r="KY143" s="14"/>
      <c r="KZ143" s="14"/>
      <c r="LA143" s="14"/>
      <c r="LB143" s="14"/>
    </row>
    <row r="144" spans="7:314" s="9" customFormat="1">
      <c r="G144" s="16"/>
      <c r="H144" s="16"/>
      <c r="O144" s="46"/>
      <c r="P144" s="42"/>
      <c r="Q144" s="42"/>
      <c r="R144" s="50"/>
      <c r="S144" s="42"/>
      <c r="T144" s="42"/>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c r="KO144" s="14"/>
      <c r="KP144" s="14"/>
      <c r="KQ144" s="14"/>
      <c r="KR144" s="14"/>
      <c r="KS144" s="14"/>
      <c r="KT144" s="14"/>
      <c r="KU144" s="14"/>
      <c r="KV144" s="14"/>
      <c r="KW144" s="14"/>
      <c r="KX144" s="14"/>
      <c r="KY144" s="14"/>
      <c r="KZ144" s="14"/>
      <c r="LA144" s="14"/>
      <c r="LB144" s="14"/>
    </row>
    <row r="145" spans="7:314" s="9" customFormat="1">
      <c r="G145" s="16"/>
      <c r="H145" s="16"/>
      <c r="O145" s="46"/>
      <c r="P145" s="42"/>
      <c r="Q145" s="42"/>
      <c r="R145" s="50"/>
      <c r="S145" s="42"/>
      <c r="T145" s="42"/>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c r="KO145" s="14"/>
      <c r="KP145" s="14"/>
      <c r="KQ145" s="14"/>
      <c r="KR145" s="14"/>
      <c r="KS145" s="14"/>
      <c r="KT145" s="14"/>
      <c r="KU145" s="14"/>
      <c r="KV145" s="14"/>
      <c r="KW145" s="14"/>
      <c r="KX145" s="14"/>
      <c r="KY145" s="14"/>
      <c r="KZ145" s="14"/>
      <c r="LA145" s="14"/>
      <c r="LB145" s="14"/>
    </row>
    <row r="146" spans="7:314" s="9" customFormat="1">
      <c r="G146" s="16"/>
      <c r="H146" s="16"/>
      <c r="O146" s="46"/>
      <c r="P146" s="42"/>
      <c r="Q146" s="42"/>
      <c r="R146" s="50"/>
      <c r="S146" s="42"/>
      <c r="T146" s="42"/>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c r="KO146" s="14"/>
      <c r="KP146" s="14"/>
      <c r="KQ146" s="14"/>
      <c r="KR146" s="14"/>
      <c r="KS146" s="14"/>
      <c r="KT146" s="14"/>
      <c r="KU146" s="14"/>
      <c r="KV146" s="14"/>
      <c r="KW146" s="14"/>
      <c r="KX146" s="14"/>
      <c r="KY146" s="14"/>
      <c r="KZ146" s="14"/>
      <c r="LA146" s="14"/>
      <c r="LB146" s="14"/>
    </row>
    <row r="147" spans="7:314" s="9" customFormat="1">
      <c r="G147" s="16"/>
      <c r="H147" s="16"/>
      <c r="O147" s="46"/>
      <c r="P147" s="42"/>
      <c r="Q147" s="42"/>
      <c r="R147" s="50"/>
      <c r="S147" s="42"/>
      <c r="T147" s="42"/>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c r="KO147" s="14"/>
      <c r="KP147" s="14"/>
      <c r="KQ147" s="14"/>
      <c r="KR147" s="14"/>
      <c r="KS147" s="14"/>
      <c r="KT147" s="14"/>
      <c r="KU147" s="14"/>
      <c r="KV147" s="14"/>
      <c r="KW147" s="14"/>
      <c r="KX147" s="14"/>
      <c r="KY147" s="14"/>
      <c r="KZ147" s="14"/>
      <c r="LA147" s="14"/>
      <c r="LB147" s="14"/>
    </row>
    <row r="148" spans="7:314" s="9" customFormat="1">
      <c r="G148" s="16"/>
      <c r="H148" s="16"/>
      <c r="O148" s="46"/>
      <c r="P148" s="42"/>
      <c r="Q148" s="42"/>
      <c r="R148" s="50"/>
      <c r="S148" s="42"/>
      <c r="T148" s="42"/>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c r="KO148" s="14"/>
      <c r="KP148" s="14"/>
      <c r="KQ148" s="14"/>
      <c r="KR148" s="14"/>
      <c r="KS148" s="14"/>
      <c r="KT148" s="14"/>
      <c r="KU148" s="14"/>
      <c r="KV148" s="14"/>
      <c r="KW148" s="14"/>
      <c r="KX148" s="14"/>
      <c r="KY148" s="14"/>
      <c r="KZ148" s="14"/>
      <c r="LA148" s="14"/>
      <c r="LB148" s="14"/>
    </row>
    <row r="149" spans="7:314" s="9" customFormat="1">
      <c r="G149" s="16"/>
      <c r="H149" s="16"/>
      <c r="O149" s="46"/>
      <c r="P149" s="42"/>
      <c r="Q149" s="42"/>
      <c r="R149" s="50"/>
      <c r="S149" s="42"/>
      <c r="T149" s="42"/>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c r="KO149" s="14"/>
      <c r="KP149" s="14"/>
      <c r="KQ149" s="14"/>
      <c r="KR149" s="14"/>
      <c r="KS149" s="14"/>
      <c r="KT149" s="14"/>
      <c r="KU149" s="14"/>
      <c r="KV149" s="14"/>
      <c r="KW149" s="14"/>
      <c r="KX149" s="14"/>
      <c r="KY149" s="14"/>
      <c r="KZ149" s="14"/>
      <c r="LA149" s="14"/>
      <c r="LB149" s="14"/>
    </row>
    <row r="150" spans="7:314" s="9" customFormat="1">
      <c r="G150" s="16"/>
      <c r="H150" s="16"/>
      <c r="O150" s="46"/>
      <c r="P150" s="42"/>
      <c r="Q150" s="42"/>
      <c r="R150" s="50"/>
      <c r="S150" s="42"/>
      <c r="T150" s="42"/>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c r="KO150" s="14"/>
      <c r="KP150" s="14"/>
      <c r="KQ150" s="14"/>
      <c r="KR150" s="14"/>
      <c r="KS150" s="14"/>
      <c r="KT150" s="14"/>
      <c r="KU150" s="14"/>
      <c r="KV150" s="14"/>
      <c r="KW150" s="14"/>
      <c r="KX150" s="14"/>
      <c r="KY150" s="14"/>
      <c r="KZ150" s="14"/>
      <c r="LA150" s="14"/>
      <c r="LB150" s="14"/>
    </row>
    <row r="151" spans="7:314" s="9" customFormat="1">
      <c r="G151" s="16"/>
      <c r="H151" s="16"/>
      <c r="O151" s="46"/>
      <c r="P151" s="42"/>
      <c r="Q151" s="42"/>
      <c r="R151" s="50"/>
      <c r="S151" s="42"/>
      <c r="T151" s="42"/>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c r="KO151" s="14"/>
      <c r="KP151" s="14"/>
      <c r="KQ151" s="14"/>
      <c r="KR151" s="14"/>
      <c r="KS151" s="14"/>
      <c r="KT151" s="14"/>
      <c r="KU151" s="14"/>
      <c r="KV151" s="14"/>
      <c r="KW151" s="14"/>
      <c r="KX151" s="14"/>
      <c r="KY151" s="14"/>
      <c r="KZ151" s="14"/>
      <c r="LA151" s="14"/>
      <c r="LB151" s="14"/>
    </row>
    <row r="152" spans="7:314" s="9" customFormat="1">
      <c r="G152" s="16"/>
      <c r="H152" s="16"/>
      <c r="O152" s="46"/>
      <c r="P152" s="42"/>
      <c r="Q152" s="42"/>
      <c r="R152" s="50"/>
      <c r="S152" s="42"/>
      <c r="T152" s="42"/>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c r="KO152" s="14"/>
      <c r="KP152" s="14"/>
      <c r="KQ152" s="14"/>
      <c r="KR152" s="14"/>
      <c r="KS152" s="14"/>
      <c r="KT152" s="14"/>
      <c r="KU152" s="14"/>
      <c r="KV152" s="14"/>
      <c r="KW152" s="14"/>
      <c r="KX152" s="14"/>
      <c r="KY152" s="14"/>
      <c r="KZ152" s="14"/>
      <c r="LA152" s="14"/>
      <c r="LB152" s="14"/>
    </row>
    <row r="153" spans="7:314" s="9" customFormat="1">
      <c r="G153" s="16"/>
      <c r="H153" s="16"/>
      <c r="O153" s="46"/>
      <c r="P153" s="42"/>
      <c r="Q153" s="42"/>
      <c r="R153" s="50"/>
      <c r="S153" s="42"/>
      <c r="T153" s="42"/>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c r="KO153" s="14"/>
      <c r="KP153" s="14"/>
      <c r="KQ153" s="14"/>
      <c r="KR153" s="14"/>
      <c r="KS153" s="14"/>
      <c r="KT153" s="14"/>
      <c r="KU153" s="14"/>
      <c r="KV153" s="14"/>
      <c r="KW153" s="14"/>
      <c r="KX153" s="14"/>
      <c r="KY153" s="14"/>
      <c r="KZ153" s="14"/>
      <c r="LA153" s="14"/>
      <c r="LB153" s="14"/>
    </row>
    <row r="154" spans="7:314" s="9" customFormat="1">
      <c r="G154" s="16"/>
      <c r="H154" s="16"/>
      <c r="O154" s="46"/>
      <c r="P154" s="42"/>
      <c r="Q154" s="42"/>
      <c r="R154" s="50"/>
      <c r="S154" s="42"/>
      <c r="T154" s="42"/>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c r="KO154" s="14"/>
      <c r="KP154" s="14"/>
      <c r="KQ154" s="14"/>
      <c r="KR154" s="14"/>
      <c r="KS154" s="14"/>
      <c r="KT154" s="14"/>
      <c r="KU154" s="14"/>
      <c r="KV154" s="14"/>
      <c r="KW154" s="14"/>
      <c r="KX154" s="14"/>
      <c r="KY154" s="14"/>
      <c r="KZ154" s="14"/>
      <c r="LA154" s="14"/>
      <c r="LB154" s="14"/>
    </row>
    <row r="155" spans="7:314" s="9" customFormat="1">
      <c r="G155" s="16"/>
      <c r="H155" s="16"/>
      <c r="O155" s="46"/>
      <c r="P155" s="42"/>
      <c r="Q155" s="42"/>
      <c r="R155" s="50"/>
      <c r="S155" s="42"/>
      <c r="T155" s="42"/>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c r="KO155" s="14"/>
      <c r="KP155" s="14"/>
      <c r="KQ155" s="14"/>
      <c r="KR155" s="14"/>
      <c r="KS155" s="14"/>
      <c r="KT155" s="14"/>
      <c r="KU155" s="14"/>
      <c r="KV155" s="14"/>
      <c r="KW155" s="14"/>
      <c r="KX155" s="14"/>
      <c r="KY155" s="14"/>
      <c r="KZ155" s="14"/>
      <c r="LA155" s="14"/>
      <c r="LB155" s="14"/>
    </row>
    <row r="156" spans="7:314" s="9" customFormat="1">
      <c r="G156" s="16"/>
      <c r="H156" s="16"/>
      <c r="O156" s="46"/>
      <c r="P156" s="42"/>
      <c r="Q156" s="42"/>
      <c r="R156" s="50"/>
      <c r="S156" s="42"/>
      <c r="T156" s="42"/>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c r="KO156" s="14"/>
      <c r="KP156" s="14"/>
      <c r="KQ156" s="14"/>
      <c r="KR156" s="14"/>
      <c r="KS156" s="14"/>
      <c r="KT156" s="14"/>
      <c r="KU156" s="14"/>
      <c r="KV156" s="14"/>
      <c r="KW156" s="14"/>
      <c r="KX156" s="14"/>
      <c r="KY156" s="14"/>
      <c r="KZ156" s="14"/>
      <c r="LA156" s="14"/>
      <c r="LB156" s="14"/>
    </row>
    <row r="157" spans="7:314" s="9" customFormat="1">
      <c r="G157" s="16"/>
      <c r="H157" s="16"/>
      <c r="O157" s="46"/>
      <c r="P157" s="42"/>
      <c r="Q157" s="42"/>
      <c r="R157" s="50"/>
      <c r="S157" s="42"/>
      <c r="T157" s="42"/>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c r="KO157" s="14"/>
      <c r="KP157" s="14"/>
      <c r="KQ157" s="14"/>
      <c r="KR157" s="14"/>
      <c r="KS157" s="14"/>
      <c r="KT157" s="14"/>
      <c r="KU157" s="14"/>
      <c r="KV157" s="14"/>
      <c r="KW157" s="14"/>
      <c r="KX157" s="14"/>
      <c r="KY157" s="14"/>
      <c r="KZ157" s="14"/>
      <c r="LA157" s="14"/>
      <c r="LB157" s="14"/>
    </row>
    <row r="158" spans="7:314" s="9" customFormat="1">
      <c r="G158" s="16"/>
      <c r="H158" s="16"/>
      <c r="O158" s="46"/>
      <c r="P158" s="42"/>
      <c r="Q158" s="42"/>
      <c r="R158" s="50"/>
      <c r="S158" s="42"/>
      <c r="T158" s="42"/>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c r="KO158" s="14"/>
      <c r="KP158" s="14"/>
      <c r="KQ158" s="14"/>
      <c r="KR158" s="14"/>
      <c r="KS158" s="14"/>
      <c r="KT158" s="14"/>
      <c r="KU158" s="14"/>
      <c r="KV158" s="14"/>
      <c r="KW158" s="14"/>
      <c r="KX158" s="14"/>
      <c r="KY158" s="14"/>
      <c r="KZ158" s="14"/>
      <c r="LA158" s="14"/>
      <c r="LB158" s="14"/>
    </row>
    <row r="159" spans="7:314" s="9" customFormat="1">
      <c r="G159" s="16"/>
      <c r="H159" s="16"/>
      <c r="O159" s="46"/>
      <c r="P159" s="42"/>
      <c r="Q159" s="42"/>
      <c r="R159" s="50"/>
      <c r="S159" s="42"/>
      <c r="T159" s="42"/>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c r="KO159" s="14"/>
      <c r="KP159" s="14"/>
      <c r="KQ159" s="14"/>
      <c r="KR159" s="14"/>
      <c r="KS159" s="14"/>
      <c r="KT159" s="14"/>
      <c r="KU159" s="14"/>
      <c r="KV159" s="14"/>
      <c r="KW159" s="14"/>
      <c r="KX159" s="14"/>
      <c r="KY159" s="14"/>
      <c r="KZ159" s="14"/>
      <c r="LA159" s="14"/>
      <c r="LB159" s="14"/>
    </row>
    <row r="160" spans="7:314" s="9" customFormat="1">
      <c r="G160" s="16"/>
      <c r="H160" s="16"/>
      <c r="O160" s="46"/>
      <c r="P160" s="42"/>
      <c r="Q160" s="42"/>
      <c r="R160" s="50"/>
      <c r="S160" s="42"/>
      <c r="T160" s="42"/>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c r="KO160" s="14"/>
      <c r="KP160" s="14"/>
      <c r="KQ160" s="14"/>
      <c r="KR160" s="14"/>
      <c r="KS160" s="14"/>
      <c r="KT160" s="14"/>
      <c r="KU160" s="14"/>
      <c r="KV160" s="14"/>
      <c r="KW160" s="14"/>
      <c r="KX160" s="14"/>
      <c r="KY160" s="14"/>
      <c r="KZ160" s="14"/>
      <c r="LA160" s="14"/>
      <c r="LB160" s="14"/>
    </row>
    <row r="161" spans="7:314" s="9" customFormat="1">
      <c r="G161" s="16"/>
      <c r="H161" s="16"/>
      <c r="O161" s="46"/>
      <c r="P161" s="42"/>
      <c r="Q161" s="42"/>
      <c r="R161" s="50"/>
      <c r="S161" s="42"/>
      <c r="T161" s="42"/>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c r="KO161" s="14"/>
      <c r="KP161" s="14"/>
      <c r="KQ161" s="14"/>
      <c r="KR161" s="14"/>
      <c r="KS161" s="14"/>
      <c r="KT161" s="14"/>
      <c r="KU161" s="14"/>
      <c r="KV161" s="14"/>
      <c r="KW161" s="14"/>
      <c r="KX161" s="14"/>
      <c r="KY161" s="14"/>
      <c r="KZ161" s="14"/>
      <c r="LA161" s="14"/>
      <c r="LB161" s="14"/>
    </row>
    <row r="162" spans="7:314" s="9" customFormat="1">
      <c r="G162" s="16"/>
      <c r="H162" s="16"/>
      <c r="O162" s="46"/>
      <c r="P162" s="42"/>
      <c r="Q162" s="42"/>
      <c r="R162" s="50"/>
      <c r="S162" s="42"/>
      <c r="T162" s="42"/>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c r="KO162" s="14"/>
      <c r="KP162" s="14"/>
      <c r="KQ162" s="14"/>
      <c r="KR162" s="14"/>
      <c r="KS162" s="14"/>
      <c r="KT162" s="14"/>
      <c r="KU162" s="14"/>
      <c r="KV162" s="14"/>
      <c r="KW162" s="14"/>
      <c r="KX162" s="14"/>
      <c r="KY162" s="14"/>
      <c r="KZ162" s="14"/>
      <c r="LA162" s="14"/>
      <c r="LB162" s="14"/>
    </row>
    <row r="163" spans="7:314" s="9" customFormat="1">
      <c r="G163" s="16"/>
      <c r="H163" s="16"/>
      <c r="O163" s="46"/>
      <c r="P163" s="42"/>
      <c r="Q163" s="42"/>
      <c r="R163" s="50"/>
      <c r="S163" s="42"/>
      <c r="T163" s="42"/>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c r="KO163" s="14"/>
      <c r="KP163" s="14"/>
      <c r="KQ163" s="14"/>
      <c r="KR163" s="14"/>
      <c r="KS163" s="14"/>
      <c r="KT163" s="14"/>
      <c r="KU163" s="14"/>
      <c r="KV163" s="14"/>
      <c r="KW163" s="14"/>
      <c r="KX163" s="14"/>
      <c r="KY163" s="14"/>
      <c r="KZ163" s="14"/>
      <c r="LA163" s="14"/>
      <c r="LB163" s="14"/>
    </row>
    <row r="164" spans="7:314" s="9" customFormat="1">
      <c r="G164" s="16"/>
      <c r="H164" s="16"/>
      <c r="O164" s="46"/>
      <c r="P164" s="42"/>
      <c r="Q164" s="42"/>
      <c r="R164" s="50"/>
      <c r="S164" s="42"/>
      <c r="T164" s="42"/>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c r="KO164" s="14"/>
      <c r="KP164" s="14"/>
      <c r="KQ164" s="14"/>
      <c r="KR164" s="14"/>
      <c r="KS164" s="14"/>
      <c r="KT164" s="14"/>
      <c r="KU164" s="14"/>
      <c r="KV164" s="14"/>
      <c r="KW164" s="14"/>
      <c r="KX164" s="14"/>
      <c r="KY164" s="14"/>
      <c r="KZ164" s="14"/>
      <c r="LA164" s="14"/>
      <c r="LB164" s="14"/>
    </row>
    <row r="165" spans="7:314" s="9" customFormat="1">
      <c r="G165" s="16"/>
      <c r="H165" s="16"/>
      <c r="O165" s="46"/>
      <c r="P165" s="42"/>
      <c r="Q165" s="42"/>
      <c r="R165" s="50"/>
      <c r="S165" s="42"/>
      <c r="T165" s="42"/>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c r="KO165" s="14"/>
      <c r="KP165" s="14"/>
      <c r="KQ165" s="14"/>
      <c r="KR165" s="14"/>
      <c r="KS165" s="14"/>
      <c r="KT165" s="14"/>
      <c r="KU165" s="14"/>
      <c r="KV165" s="14"/>
      <c r="KW165" s="14"/>
      <c r="KX165" s="14"/>
      <c r="KY165" s="14"/>
      <c r="KZ165" s="14"/>
      <c r="LA165" s="14"/>
      <c r="LB165" s="14"/>
    </row>
    <row r="166" spans="7:314" s="9" customFormat="1">
      <c r="G166" s="16"/>
      <c r="H166" s="16"/>
      <c r="O166" s="46"/>
      <c r="P166" s="42"/>
      <c r="Q166" s="42"/>
      <c r="R166" s="50"/>
      <c r="S166" s="42"/>
      <c r="T166" s="42"/>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c r="KO166" s="14"/>
      <c r="KP166" s="14"/>
      <c r="KQ166" s="14"/>
      <c r="KR166" s="14"/>
      <c r="KS166" s="14"/>
      <c r="KT166" s="14"/>
      <c r="KU166" s="14"/>
      <c r="KV166" s="14"/>
      <c r="KW166" s="14"/>
      <c r="KX166" s="14"/>
      <c r="KY166" s="14"/>
      <c r="KZ166" s="14"/>
      <c r="LA166" s="14"/>
      <c r="LB166" s="14"/>
    </row>
    <row r="167" spans="7:314" s="9" customFormat="1">
      <c r="G167" s="16"/>
      <c r="H167" s="16"/>
      <c r="O167" s="46"/>
      <c r="P167" s="42"/>
      <c r="Q167" s="42"/>
      <c r="R167" s="50"/>
      <c r="S167" s="42"/>
      <c r="T167" s="42"/>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c r="KO167" s="14"/>
      <c r="KP167" s="14"/>
      <c r="KQ167" s="14"/>
      <c r="KR167" s="14"/>
      <c r="KS167" s="14"/>
      <c r="KT167" s="14"/>
      <c r="KU167" s="14"/>
      <c r="KV167" s="14"/>
      <c r="KW167" s="14"/>
      <c r="KX167" s="14"/>
      <c r="KY167" s="14"/>
      <c r="KZ167" s="14"/>
      <c r="LA167" s="14"/>
      <c r="LB167" s="14"/>
    </row>
    <row r="168" spans="7:314" s="9" customFormat="1">
      <c r="G168" s="16"/>
      <c r="H168" s="16"/>
      <c r="O168" s="46"/>
      <c r="P168" s="42"/>
      <c r="Q168" s="42"/>
      <c r="R168" s="50"/>
      <c r="S168" s="42"/>
      <c r="T168" s="42"/>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c r="KO168" s="14"/>
      <c r="KP168" s="14"/>
      <c r="KQ168" s="14"/>
      <c r="KR168" s="14"/>
      <c r="KS168" s="14"/>
      <c r="KT168" s="14"/>
      <c r="KU168" s="14"/>
      <c r="KV168" s="14"/>
      <c r="KW168" s="14"/>
      <c r="KX168" s="14"/>
      <c r="KY168" s="14"/>
      <c r="KZ168" s="14"/>
      <c r="LA168" s="14"/>
      <c r="LB168" s="14"/>
    </row>
    <row r="169" spans="7:314" s="9" customFormat="1">
      <c r="G169" s="16"/>
      <c r="H169" s="16"/>
      <c r="O169" s="46"/>
      <c r="P169" s="42"/>
      <c r="Q169" s="42"/>
      <c r="R169" s="50"/>
      <c r="S169" s="42"/>
      <c r="T169" s="42"/>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c r="KO169" s="14"/>
      <c r="KP169" s="14"/>
      <c r="KQ169" s="14"/>
      <c r="KR169" s="14"/>
      <c r="KS169" s="14"/>
      <c r="KT169" s="14"/>
      <c r="KU169" s="14"/>
      <c r="KV169" s="14"/>
      <c r="KW169" s="14"/>
      <c r="KX169" s="14"/>
      <c r="KY169" s="14"/>
      <c r="KZ169" s="14"/>
      <c r="LA169" s="14"/>
      <c r="LB169" s="14"/>
    </row>
    <row r="170" spans="7:314" s="9" customFormat="1">
      <c r="G170" s="16"/>
      <c r="H170" s="16"/>
      <c r="O170" s="46"/>
      <c r="P170" s="42"/>
      <c r="Q170" s="42"/>
      <c r="R170" s="50"/>
      <c r="S170" s="42"/>
      <c r="T170" s="42"/>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c r="KO170" s="14"/>
      <c r="KP170" s="14"/>
      <c r="KQ170" s="14"/>
      <c r="KR170" s="14"/>
      <c r="KS170" s="14"/>
      <c r="KT170" s="14"/>
      <c r="KU170" s="14"/>
      <c r="KV170" s="14"/>
      <c r="KW170" s="14"/>
      <c r="KX170" s="14"/>
      <c r="KY170" s="14"/>
      <c r="KZ170" s="14"/>
      <c r="LA170" s="14"/>
      <c r="LB170" s="14"/>
    </row>
    <row r="171" spans="7:314" s="9" customFormat="1">
      <c r="G171" s="16"/>
      <c r="H171" s="16"/>
      <c r="O171" s="46"/>
      <c r="P171" s="42"/>
      <c r="Q171" s="42"/>
      <c r="R171" s="50"/>
      <c r="S171" s="42"/>
      <c r="T171" s="42"/>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c r="KO171" s="14"/>
      <c r="KP171" s="14"/>
      <c r="KQ171" s="14"/>
      <c r="KR171" s="14"/>
      <c r="KS171" s="14"/>
      <c r="KT171" s="14"/>
      <c r="KU171" s="14"/>
      <c r="KV171" s="14"/>
      <c r="KW171" s="14"/>
      <c r="KX171" s="14"/>
      <c r="KY171" s="14"/>
      <c r="KZ171" s="14"/>
      <c r="LA171" s="14"/>
      <c r="LB171" s="14"/>
    </row>
    <row r="172" spans="7:314" s="9" customFormat="1">
      <c r="G172" s="16"/>
      <c r="H172" s="16"/>
      <c r="O172" s="46"/>
      <c r="P172" s="42"/>
      <c r="Q172" s="42"/>
      <c r="R172" s="50"/>
      <c r="S172" s="42"/>
      <c r="T172" s="42"/>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c r="KO172" s="14"/>
      <c r="KP172" s="14"/>
      <c r="KQ172" s="14"/>
      <c r="KR172" s="14"/>
      <c r="KS172" s="14"/>
      <c r="KT172" s="14"/>
      <c r="KU172" s="14"/>
      <c r="KV172" s="14"/>
      <c r="KW172" s="14"/>
      <c r="KX172" s="14"/>
      <c r="KY172" s="14"/>
      <c r="KZ172" s="14"/>
      <c r="LA172" s="14"/>
      <c r="LB172" s="14"/>
    </row>
    <row r="173" spans="7:314" s="9" customFormat="1">
      <c r="G173" s="16"/>
      <c r="H173" s="16"/>
      <c r="O173" s="46"/>
      <c r="P173" s="42"/>
      <c r="Q173" s="42"/>
      <c r="R173" s="50"/>
      <c r="S173" s="42"/>
      <c r="T173" s="42"/>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c r="KO173" s="14"/>
      <c r="KP173" s="14"/>
      <c r="KQ173" s="14"/>
      <c r="KR173" s="14"/>
      <c r="KS173" s="14"/>
      <c r="KT173" s="14"/>
      <c r="KU173" s="14"/>
      <c r="KV173" s="14"/>
      <c r="KW173" s="14"/>
      <c r="KX173" s="14"/>
      <c r="KY173" s="14"/>
      <c r="KZ173" s="14"/>
      <c r="LA173" s="14"/>
      <c r="LB173" s="14"/>
    </row>
    <row r="174" spans="7:314" s="9" customFormat="1">
      <c r="G174" s="16"/>
      <c r="H174" s="16"/>
      <c r="O174" s="46"/>
      <c r="P174" s="42"/>
      <c r="Q174" s="42"/>
      <c r="R174" s="50"/>
      <c r="S174" s="42"/>
      <c r="T174" s="42"/>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c r="KO174" s="14"/>
      <c r="KP174" s="14"/>
      <c r="KQ174" s="14"/>
      <c r="KR174" s="14"/>
      <c r="KS174" s="14"/>
      <c r="KT174" s="14"/>
      <c r="KU174" s="14"/>
      <c r="KV174" s="14"/>
      <c r="KW174" s="14"/>
      <c r="KX174" s="14"/>
      <c r="KY174" s="14"/>
      <c r="KZ174" s="14"/>
      <c r="LA174" s="14"/>
      <c r="LB174" s="14"/>
    </row>
    <row r="175" spans="7:314" s="9" customFormat="1">
      <c r="G175" s="16"/>
      <c r="H175" s="16"/>
      <c r="O175" s="46"/>
      <c r="P175" s="42"/>
      <c r="Q175" s="42"/>
      <c r="R175" s="50"/>
      <c r="S175" s="42"/>
      <c r="T175" s="42"/>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c r="KO175" s="14"/>
      <c r="KP175" s="14"/>
      <c r="KQ175" s="14"/>
      <c r="KR175" s="14"/>
      <c r="KS175" s="14"/>
      <c r="KT175" s="14"/>
      <c r="KU175" s="14"/>
      <c r="KV175" s="14"/>
      <c r="KW175" s="14"/>
      <c r="KX175" s="14"/>
      <c r="KY175" s="14"/>
      <c r="KZ175" s="14"/>
      <c r="LA175" s="14"/>
      <c r="LB175" s="14"/>
    </row>
    <row r="176" spans="7:314" s="9" customFormat="1">
      <c r="G176" s="16"/>
      <c r="H176" s="16"/>
      <c r="O176" s="46"/>
      <c r="P176" s="42"/>
      <c r="Q176" s="42"/>
      <c r="R176" s="50"/>
      <c r="S176" s="42"/>
      <c r="T176" s="42"/>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c r="KO176" s="14"/>
      <c r="KP176" s="14"/>
      <c r="KQ176" s="14"/>
      <c r="KR176" s="14"/>
      <c r="KS176" s="14"/>
      <c r="KT176" s="14"/>
      <c r="KU176" s="14"/>
      <c r="KV176" s="14"/>
      <c r="KW176" s="14"/>
      <c r="KX176" s="14"/>
      <c r="KY176" s="14"/>
      <c r="KZ176" s="14"/>
      <c r="LA176" s="14"/>
      <c r="LB176" s="14"/>
    </row>
    <row r="177" spans="7:314" s="9" customFormat="1">
      <c r="G177" s="16"/>
      <c r="H177" s="16"/>
      <c r="O177" s="46"/>
      <c r="P177" s="42"/>
      <c r="Q177" s="42"/>
      <c r="R177" s="50"/>
      <c r="S177" s="42"/>
      <c r="T177" s="42"/>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c r="KO177" s="14"/>
      <c r="KP177" s="14"/>
      <c r="KQ177" s="14"/>
      <c r="KR177" s="14"/>
      <c r="KS177" s="14"/>
      <c r="KT177" s="14"/>
      <c r="KU177" s="14"/>
      <c r="KV177" s="14"/>
      <c r="KW177" s="14"/>
      <c r="KX177" s="14"/>
      <c r="KY177" s="14"/>
      <c r="KZ177" s="14"/>
      <c r="LA177" s="14"/>
      <c r="LB177" s="14"/>
    </row>
    <row r="178" spans="7:314" s="9" customFormat="1">
      <c r="G178" s="16"/>
      <c r="H178" s="16"/>
      <c r="O178" s="46"/>
      <c r="P178" s="42"/>
      <c r="Q178" s="42"/>
      <c r="R178" s="50"/>
      <c r="S178" s="42"/>
      <c r="T178" s="42"/>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c r="KO178" s="14"/>
      <c r="KP178" s="14"/>
      <c r="KQ178" s="14"/>
      <c r="KR178" s="14"/>
      <c r="KS178" s="14"/>
      <c r="KT178" s="14"/>
      <c r="KU178" s="14"/>
      <c r="KV178" s="14"/>
      <c r="KW178" s="14"/>
      <c r="KX178" s="14"/>
      <c r="KY178" s="14"/>
      <c r="KZ178" s="14"/>
      <c r="LA178" s="14"/>
      <c r="LB178" s="14"/>
    </row>
    <row r="179" spans="7:314" s="9" customFormat="1">
      <c r="G179" s="16"/>
      <c r="H179" s="16"/>
      <c r="O179" s="46"/>
      <c r="P179" s="42"/>
      <c r="Q179" s="42"/>
      <c r="R179" s="50"/>
      <c r="S179" s="42"/>
      <c r="T179" s="42"/>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c r="KO179" s="14"/>
      <c r="KP179" s="14"/>
      <c r="KQ179" s="14"/>
      <c r="KR179" s="14"/>
      <c r="KS179" s="14"/>
      <c r="KT179" s="14"/>
      <c r="KU179" s="14"/>
      <c r="KV179" s="14"/>
      <c r="KW179" s="14"/>
      <c r="KX179" s="14"/>
      <c r="KY179" s="14"/>
      <c r="KZ179" s="14"/>
      <c r="LA179" s="14"/>
      <c r="LB179" s="14"/>
    </row>
    <row r="180" spans="7:314" s="9" customFormat="1">
      <c r="G180" s="16"/>
      <c r="H180" s="16"/>
      <c r="O180" s="46"/>
      <c r="P180" s="42"/>
      <c r="Q180" s="42"/>
      <c r="R180" s="50"/>
      <c r="S180" s="42"/>
      <c r="T180" s="42"/>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c r="KO180" s="14"/>
      <c r="KP180" s="14"/>
      <c r="KQ180" s="14"/>
      <c r="KR180" s="14"/>
      <c r="KS180" s="14"/>
      <c r="KT180" s="14"/>
      <c r="KU180" s="14"/>
      <c r="KV180" s="14"/>
      <c r="KW180" s="14"/>
      <c r="KX180" s="14"/>
      <c r="KY180" s="14"/>
      <c r="KZ180" s="14"/>
      <c r="LA180" s="14"/>
      <c r="LB180" s="14"/>
    </row>
    <row r="181" spans="7:314" s="9" customFormat="1">
      <c r="G181" s="16"/>
      <c r="H181" s="16"/>
      <c r="O181" s="46"/>
      <c r="P181" s="42"/>
      <c r="Q181" s="42"/>
      <c r="R181" s="50"/>
      <c r="S181" s="42"/>
      <c r="T181" s="42"/>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c r="KO181" s="14"/>
      <c r="KP181" s="14"/>
      <c r="KQ181" s="14"/>
      <c r="KR181" s="14"/>
      <c r="KS181" s="14"/>
      <c r="KT181" s="14"/>
      <c r="KU181" s="14"/>
      <c r="KV181" s="14"/>
      <c r="KW181" s="14"/>
      <c r="KX181" s="14"/>
      <c r="KY181" s="14"/>
      <c r="KZ181" s="14"/>
      <c r="LA181" s="14"/>
      <c r="LB181" s="14"/>
    </row>
    <row r="182" spans="7:314" s="9" customFormat="1">
      <c r="G182" s="16"/>
      <c r="H182" s="16"/>
      <c r="O182" s="46"/>
      <c r="P182" s="42"/>
      <c r="Q182" s="42"/>
      <c r="R182" s="50"/>
      <c r="S182" s="42"/>
      <c r="T182" s="42"/>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c r="KO182" s="14"/>
      <c r="KP182" s="14"/>
      <c r="KQ182" s="14"/>
      <c r="KR182" s="14"/>
      <c r="KS182" s="14"/>
      <c r="KT182" s="14"/>
      <c r="KU182" s="14"/>
      <c r="KV182" s="14"/>
      <c r="KW182" s="14"/>
      <c r="KX182" s="14"/>
      <c r="KY182" s="14"/>
      <c r="KZ182" s="14"/>
      <c r="LA182" s="14"/>
      <c r="LB182" s="14"/>
    </row>
    <row r="183" spans="7:314" s="9" customFormat="1">
      <c r="G183" s="16"/>
      <c r="H183" s="16"/>
      <c r="O183" s="46"/>
      <c r="P183" s="42"/>
      <c r="Q183" s="42"/>
      <c r="R183" s="50"/>
      <c r="S183" s="42"/>
      <c r="T183" s="42"/>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c r="KO183" s="14"/>
      <c r="KP183" s="14"/>
      <c r="KQ183" s="14"/>
      <c r="KR183" s="14"/>
      <c r="KS183" s="14"/>
      <c r="KT183" s="14"/>
      <c r="KU183" s="14"/>
      <c r="KV183" s="14"/>
      <c r="KW183" s="14"/>
      <c r="KX183" s="14"/>
      <c r="KY183" s="14"/>
      <c r="KZ183" s="14"/>
      <c r="LA183" s="14"/>
      <c r="LB183" s="14"/>
    </row>
    <row r="184" spans="7:314" s="9" customFormat="1">
      <c r="G184" s="16"/>
      <c r="H184" s="16"/>
      <c r="O184" s="46"/>
      <c r="P184" s="42"/>
      <c r="Q184" s="42"/>
      <c r="R184" s="50"/>
      <c r="S184" s="42"/>
      <c r="T184" s="42"/>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c r="KO184" s="14"/>
      <c r="KP184" s="14"/>
      <c r="KQ184" s="14"/>
      <c r="KR184" s="14"/>
      <c r="KS184" s="14"/>
      <c r="KT184" s="14"/>
      <c r="KU184" s="14"/>
      <c r="KV184" s="14"/>
      <c r="KW184" s="14"/>
      <c r="KX184" s="14"/>
      <c r="KY184" s="14"/>
      <c r="KZ184" s="14"/>
      <c r="LA184" s="14"/>
      <c r="LB184" s="14"/>
    </row>
    <row r="185" spans="7:314" s="9" customFormat="1">
      <c r="G185" s="16"/>
      <c r="H185" s="16"/>
      <c r="O185" s="46"/>
      <c r="P185" s="42"/>
      <c r="Q185" s="42"/>
      <c r="R185" s="50"/>
      <c r="S185" s="42"/>
      <c r="T185" s="42"/>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c r="KO185" s="14"/>
      <c r="KP185" s="14"/>
      <c r="KQ185" s="14"/>
      <c r="KR185" s="14"/>
      <c r="KS185" s="14"/>
      <c r="KT185" s="14"/>
      <c r="KU185" s="14"/>
      <c r="KV185" s="14"/>
      <c r="KW185" s="14"/>
      <c r="KX185" s="14"/>
      <c r="KY185" s="14"/>
      <c r="KZ185" s="14"/>
      <c r="LA185" s="14"/>
      <c r="LB185" s="14"/>
    </row>
    <row r="186" spans="7:314" s="9" customFormat="1">
      <c r="G186" s="16"/>
      <c r="H186" s="16"/>
      <c r="O186" s="46"/>
      <c r="P186" s="42"/>
      <c r="Q186" s="42"/>
      <c r="R186" s="50"/>
      <c r="S186" s="42"/>
      <c r="T186" s="42"/>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c r="KO186" s="14"/>
      <c r="KP186" s="14"/>
      <c r="KQ186" s="14"/>
      <c r="KR186" s="14"/>
      <c r="KS186" s="14"/>
      <c r="KT186" s="14"/>
      <c r="KU186" s="14"/>
      <c r="KV186" s="14"/>
      <c r="KW186" s="14"/>
      <c r="KX186" s="14"/>
      <c r="KY186" s="14"/>
      <c r="KZ186" s="14"/>
      <c r="LA186" s="14"/>
      <c r="LB186" s="14"/>
    </row>
    <row r="187" spans="7:314" s="9" customFormat="1">
      <c r="G187" s="16"/>
      <c r="H187" s="16"/>
      <c r="O187" s="46"/>
      <c r="P187" s="42"/>
      <c r="Q187" s="42"/>
      <c r="R187" s="50"/>
      <c r="S187" s="42"/>
      <c r="T187" s="42"/>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c r="KO187" s="14"/>
      <c r="KP187" s="14"/>
      <c r="KQ187" s="14"/>
      <c r="KR187" s="14"/>
      <c r="KS187" s="14"/>
      <c r="KT187" s="14"/>
      <c r="KU187" s="14"/>
      <c r="KV187" s="14"/>
      <c r="KW187" s="14"/>
      <c r="KX187" s="14"/>
      <c r="KY187" s="14"/>
      <c r="KZ187" s="14"/>
      <c r="LA187" s="14"/>
      <c r="LB187" s="14"/>
    </row>
    <row r="188" spans="7:314" s="9" customFormat="1">
      <c r="G188" s="16"/>
      <c r="H188" s="16"/>
      <c r="O188" s="46"/>
      <c r="P188" s="42"/>
      <c r="Q188" s="42"/>
      <c r="R188" s="50"/>
      <c r="S188" s="42"/>
      <c r="T188" s="42"/>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c r="KO188" s="14"/>
      <c r="KP188" s="14"/>
      <c r="KQ188" s="14"/>
      <c r="KR188" s="14"/>
      <c r="KS188" s="14"/>
      <c r="KT188" s="14"/>
      <c r="KU188" s="14"/>
      <c r="KV188" s="14"/>
      <c r="KW188" s="14"/>
      <c r="KX188" s="14"/>
      <c r="KY188" s="14"/>
      <c r="KZ188" s="14"/>
      <c r="LA188" s="14"/>
      <c r="LB188" s="14"/>
    </row>
    <row r="189" spans="7:314" s="9" customFormat="1">
      <c r="G189" s="16"/>
      <c r="H189" s="16"/>
      <c r="O189" s="46"/>
      <c r="P189" s="42"/>
      <c r="Q189" s="42"/>
      <c r="R189" s="50"/>
      <c r="S189" s="42"/>
      <c r="T189" s="42"/>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c r="KO189" s="14"/>
      <c r="KP189" s="14"/>
      <c r="KQ189" s="14"/>
      <c r="KR189" s="14"/>
      <c r="KS189" s="14"/>
      <c r="KT189" s="14"/>
      <c r="KU189" s="14"/>
      <c r="KV189" s="14"/>
      <c r="KW189" s="14"/>
      <c r="KX189" s="14"/>
      <c r="KY189" s="14"/>
      <c r="KZ189" s="14"/>
      <c r="LA189" s="14"/>
      <c r="LB189" s="14"/>
    </row>
    <row r="190" spans="7:314" s="9" customFormat="1">
      <c r="G190" s="16"/>
      <c r="H190" s="16"/>
      <c r="O190" s="46"/>
      <c r="P190" s="42"/>
      <c r="Q190" s="42"/>
      <c r="R190" s="50"/>
      <c r="S190" s="42"/>
      <c r="T190" s="42"/>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c r="KO190" s="14"/>
      <c r="KP190" s="14"/>
      <c r="KQ190" s="14"/>
      <c r="KR190" s="14"/>
      <c r="KS190" s="14"/>
      <c r="KT190" s="14"/>
      <c r="KU190" s="14"/>
      <c r="KV190" s="14"/>
      <c r="KW190" s="14"/>
      <c r="KX190" s="14"/>
      <c r="KY190" s="14"/>
      <c r="KZ190" s="14"/>
      <c r="LA190" s="14"/>
      <c r="LB190" s="14"/>
    </row>
    <row r="191" spans="7:314" s="9" customFormat="1">
      <c r="G191" s="16"/>
      <c r="H191" s="16"/>
      <c r="O191" s="46"/>
      <c r="P191" s="42"/>
      <c r="Q191" s="42"/>
      <c r="R191" s="50"/>
      <c r="S191" s="42"/>
      <c r="T191" s="42"/>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c r="KO191" s="14"/>
      <c r="KP191" s="14"/>
      <c r="KQ191" s="14"/>
      <c r="KR191" s="14"/>
      <c r="KS191" s="14"/>
      <c r="KT191" s="14"/>
      <c r="KU191" s="14"/>
      <c r="KV191" s="14"/>
      <c r="KW191" s="14"/>
      <c r="KX191" s="14"/>
      <c r="KY191" s="14"/>
      <c r="KZ191" s="14"/>
      <c r="LA191" s="14"/>
      <c r="LB191" s="14"/>
    </row>
    <row r="192" spans="7:314" s="9" customFormat="1">
      <c r="G192" s="16"/>
      <c r="H192" s="16"/>
      <c r="O192" s="46"/>
      <c r="P192" s="42"/>
      <c r="Q192" s="42"/>
      <c r="R192" s="50"/>
      <c r="S192" s="42"/>
      <c r="T192" s="42"/>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c r="KO192" s="14"/>
      <c r="KP192" s="14"/>
      <c r="KQ192" s="14"/>
      <c r="KR192" s="14"/>
      <c r="KS192" s="14"/>
      <c r="KT192" s="14"/>
      <c r="KU192" s="14"/>
      <c r="KV192" s="14"/>
      <c r="KW192" s="14"/>
      <c r="KX192" s="14"/>
      <c r="KY192" s="14"/>
      <c r="KZ192" s="14"/>
      <c r="LA192" s="14"/>
      <c r="LB192" s="14"/>
    </row>
    <row r="193" spans="7:314" s="9" customFormat="1">
      <c r="G193" s="16"/>
      <c r="H193" s="16"/>
      <c r="O193" s="46"/>
      <c r="P193" s="42"/>
      <c r="Q193" s="42"/>
      <c r="R193" s="50"/>
      <c r="S193" s="42"/>
      <c r="T193" s="42"/>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c r="KO193" s="14"/>
      <c r="KP193" s="14"/>
      <c r="KQ193" s="14"/>
      <c r="KR193" s="14"/>
      <c r="KS193" s="14"/>
      <c r="KT193" s="14"/>
      <c r="KU193" s="14"/>
      <c r="KV193" s="14"/>
      <c r="KW193" s="14"/>
      <c r="KX193" s="14"/>
      <c r="KY193" s="14"/>
      <c r="KZ193" s="14"/>
      <c r="LA193" s="14"/>
      <c r="LB193" s="14"/>
    </row>
    <row r="194" spans="7:314" s="9" customFormat="1">
      <c r="G194" s="16"/>
      <c r="H194" s="16"/>
      <c r="O194" s="46"/>
      <c r="P194" s="42"/>
      <c r="Q194" s="42"/>
      <c r="R194" s="50"/>
      <c r="S194" s="42"/>
      <c r="T194" s="42"/>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c r="KO194" s="14"/>
      <c r="KP194" s="14"/>
      <c r="KQ194" s="14"/>
      <c r="KR194" s="14"/>
      <c r="KS194" s="14"/>
      <c r="KT194" s="14"/>
      <c r="KU194" s="14"/>
      <c r="KV194" s="14"/>
      <c r="KW194" s="14"/>
      <c r="KX194" s="14"/>
      <c r="KY194" s="14"/>
      <c r="KZ194" s="14"/>
      <c r="LA194" s="14"/>
      <c r="LB194" s="14"/>
    </row>
    <row r="195" spans="7:314" s="9" customFormat="1">
      <c r="G195" s="16"/>
      <c r="H195" s="16"/>
      <c r="O195" s="46"/>
      <c r="P195" s="42"/>
      <c r="Q195" s="42"/>
      <c r="R195" s="50"/>
      <c r="S195" s="42"/>
      <c r="T195" s="42"/>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c r="KO195" s="14"/>
      <c r="KP195" s="14"/>
      <c r="KQ195" s="14"/>
      <c r="KR195" s="14"/>
      <c r="KS195" s="14"/>
      <c r="KT195" s="14"/>
      <c r="KU195" s="14"/>
      <c r="KV195" s="14"/>
      <c r="KW195" s="14"/>
      <c r="KX195" s="14"/>
      <c r="KY195" s="14"/>
      <c r="KZ195" s="14"/>
      <c r="LA195" s="14"/>
      <c r="LB195" s="14"/>
    </row>
    <row r="196" spans="7:314" s="9" customFormat="1">
      <c r="G196" s="16"/>
      <c r="H196" s="16"/>
      <c r="O196" s="46"/>
      <c r="P196" s="42"/>
      <c r="Q196" s="42"/>
      <c r="R196" s="50"/>
      <c r="S196" s="42"/>
      <c r="T196" s="42"/>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c r="KO196" s="14"/>
      <c r="KP196" s="14"/>
      <c r="KQ196" s="14"/>
      <c r="KR196" s="14"/>
      <c r="KS196" s="14"/>
      <c r="KT196" s="14"/>
      <c r="KU196" s="14"/>
      <c r="KV196" s="14"/>
      <c r="KW196" s="14"/>
      <c r="KX196" s="14"/>
      <c r="KY196" s="14"/>
      <c r="KZ196" s="14"/>
      <c r="LA196" s="14"/>
      <c r="LB196" s="14"/>
    </row>
    <row r="197" spans="7:314" s="9" customFormat="1">
      <c r="G197" s="16"/>
      <c r="H197" s="16"/>
      <c r="O197" s="46"/>
      <c r="P197" s="42"/>
      <c r="Q197" s="42"/>
      <c r="R197" s="50"/>
      <c r="S197" s="42"/>
      <c r="T197" s="42"/>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c r="KO197" s="14"/>
      <c r="KP197" s="14"/>
      <c r="KQ197" s="14"/>
      <c r="KR197" s="14"/>
      <c r="KS197" s="14"/>
      <c r="KT197" s="14"/>
      <c r="KU197" s="14"/>
      <c r="KV197" s="14"/>
      <c r="KW197" s="14"/>
      <c r="KX197" s="14"/>
      <c r="KY197" s="14"/>
      <c r="KZ197" s="14"/>
      <c r="LA197" s="14"/>
      <c r="LB197" s="14"/>
    </row>
    <row r="198" spans="7:314" s="9" customFormat="1">
      <c r="G198" s="16"/>
      <c r="H198" s="16"/>
      <c r="O198" s="46"/>
      <c r="P198" s="42"/>
      <c r="Q198" s="42"/>
      <c r="R198" s="50"/>
      <c r="S198" s="42"/>
      <c r="T198" s="42"/>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c r="KO198" s="14"/>
      <c r="KP198" s="14"/>
      <c r="KQ198" s="14"/>
      <c r="KR198" s="14"/>
      <c r="KS198" s="14"/>
      <c r="KT198" s="14"/>
      <c r="KU198" s="14"/>
      <c r="KV198" s="14"/>
      <c r="KW198" s="14"/>
      <c r="KX198" s="14"/>
      <c r="KY198" s="14"/>
      <c r="KZ198" s="14"/>
      <c r="LA198" s="14"/>
      <c r="LB198" s="14"/>
    </row>
    <row r="199" spans="7:314" s="9" customFormat="1">
      <c r="G199" s="16"/>
      <c r="H199" s="16"/>
      <c r="O199" s="46"/>
      <c r="P199" s="42"/>
      <c r="Q199" s="42"/>
      <c r="R199" s="50"/>
      <c r="S199" s="42"/>
      <c r="T199" s="42"/>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c r="KO199" s="14"/>
      <c r="KP199" s="14"/>
      <c r="KQ199" s="14"/>
      <c r="KR199" s="14"/>
      <c r="KS199" s="14"/>
      <c r="KT199" s="14"/>
      <c r="KU199" s="14"/>
      <c r="KV199" s="14"/>
      <c r="KW199" s="14"/>
      <c r="KX199" s="14"/>
      <c r="KY199" s="14"/>
      <c r="KZ199" s="14"/>
      <c r="LA199" s="14"/>
      <c r="LB199" s="14"/>
    </row>
    <row r="200" spans="7:314" s="9" customFormat="1">
      <c r="G200" s="16"/>
      <c r="H200" s="16"/>
      <c r="O200" s="46"/>
      <c r="P200" s="42"/>
      <c r="Q200" s="42"/>
      <c r="R200" s="50"/>
      <c r="S200" s="42"/>
      <c r="T200" s="42"/>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c r="KO200" s="14"/>
      <c r="KP200" s="14"/>
      <c r="KQ200" s="14"/>
      <c r="KR200" s="14"/>
      <c r="KS200" s="14"/>
      <c r="KT200" s="14"/>
      <c r="KU200" s="14"/>
      <c r="KV200" s="14"/>
      <c r="KW200" s="14"/>
      <c r="KX200" s="14"/>
      <c r="KY200" s="14"/>
      <c r="KZ200" s="14"/>
      <c r="LA200" s="14"/>
      <c r="LB200" s="14"/>
    </row>
    <row r="201" spans="7:314" s="9" customFormat="1">
      <c r="G201" s="16"/>
      <c r="H201" s="16"/>
      <c r="O201" s="46"/>
      <c r="P201" s="42"/>
      <c r="Q201" s="42"/>
      <c r="R201" s="50"/>
      <c r="S201" s="42"/>
      <c r="T201" s="42"/>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c r="KO201" s="14"/>
      <c r="KP201" s="14"/>
      <c r="KQ201" s="14"/>
      <c r="KR201" s="14"/>
      <c r="KS201" s="14"/>
      <c r="KT201" s="14"/>
      <c r="KU201" s="14"/>
      <c r="KV201" s="14"/>
      <c r="KW201" s="14"/>
      <c r="KX201" s="14"/>
      <c r="KY201" s="14"/>
      <c r="KZ201" s="14"/>
      <c r="LA201" s="14"/>
      <c r="LB201" s="14"/>
    </row>
    <row r="202" spans="7:314" s="9" customFormat="1">
      <c r="G202" s="16"/>
      <c r="H202" s="16"/>
      <c r="O202" s="46"/>
      <c r="P202" s="42"/>
      <c r="Q202" s="42"/>
      <c r="R202" s="50"/>
      <c r="S202" s="42"/>
      <c r="T202" s="42"/>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c r="KO202" s="14"/>
      <c r="KP202" s="14"/>
      <c r="KQ202" s="14"/>
      <c r="KR202" s="14"/>
      <c r="KS202" s="14"/>
      <c r="KT202" s="14"/>
      <c r="KU202" s="14"/>
      <c r="KV202" s="14"/>
      <c r="KW202" s="14"/>
      <c r="KX202" s="14"/>
      <c r="KY202" s="14"/>
      <c r="KZ202" s="14"/>
      <c r="LA202" s="14"/>
      <c r="LB202" s="14"/>
    </row>
    <row r="203" spans="7:314" s="9" customFormat="1">
      <c r="G203" s="16"/>
      <c r="H203" s="16"/>
      <c r="O203" s="46"/>
      <c r="P203" s="42"/>
      <c r="Q203" s="42"/>
      <c r="R203" s="50"/>
      <c r="S203" s="42"/>
      <c r="T203" s="42"/>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c r="KO203" s="14"/>
      <c r="KP203" s="14"/>
      <c r="KQ203" s="14"/>
      <c r="KR203" s="14"/>
      <c r="KS203" s="14"/>
      <c r="KT203" s="14"/>
      <c r="KU203" s="14"/>
      <c r="KV203" s="14"/>
      <c r="KW203" s="14"/>
      <c r="KX203" s="14"/>
      <c r="KY203" s="14"/>
      <c r="KZ203" s="14"/>
      <c r="LA203" s="14"/>
      <c r="LB203" s="14"/>
    </row>
    <row r="204" spans="7:314" s="9" customFormat="1">
      <c r="G204" s="16"/>
      <c r="H204" s="16"/>
      <c r="O204" s="46"/>
      <c r="P204" s="42"/>
      <c r="Q204" s="42"/>
      <c r="R204" s="50"/>
      <c r="S204" s="42"/>
      <c r="T204" s="42"/>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c r="KO204" s="14"/>
      <c r="KP204" s="14"/>
      <c r="KQ204" s="14"/>
      <c r="KR204" s="14"/>
      <c r="KS204" s="14"/>
      <c r="KT204" s="14"/>
      <c r="KU204" s="14"/>
      <c r="KV204" s="14"/>
      <c r="KW204" s="14"/>
      <c r="KX204" s="14"/>
      <c r="KY204" s="14"/>
      <c r="KZ204" s="14"/>
      <c r="LA204" s="14"/>
      <c r="LB204" s="14"/>
    </row>
    <row r="205" spans="7:314" s="9" customFormat="1">
      <c r="G205" s="16"/>
      <c r="H205" s="16"/>
      <c r="O205" s="46"/>
      <c r="P205" s="42"/>
      <c r="Q205" s="42"/>
      <c r="R205" s="50"/>
      <c r="S205" s="42"/>
      <c r="T205" s="42"/>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c r="KO205" s="14"/>
      <c r="KP205" s="14"/>
      <c r="KQ205" s="14"/>
      <c r="KR205" s="14"/>
      <c r="KS205" s="14"/>
      <c r="KT205" s="14"/>
      <c r="KU205" s="14"/>
      <c r="KV205" s="14"/>
      <c r="KW205" s="14"/>
      <c r="KX205" s="14"/>
      <c r="KY205" s="14"/>
      <c r="KZ205" s="14"/>
      <c r="LA205" s="14"/>
      <c r="LB205" s="14"/>
    </row>
    <row r="206" spans="7:314" s="9" customFormat="1">
      <c r="G206" s="16"/>
      <c r="H206" s="16"/>
      <c r="O206" s="46"/>
      <c r="P206" s="42"/>
      <c r="Q206" s="42"/>
      <c r="R206" s="50"/>
      <c r="S206" s="42"/>
      <c r="T206" s="42"/>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c r="KO206" s="14"/>
      <c r="KP206" s="14"/>
      <c r="KQ206" s="14"/>
      <c r="KR206" s="14"/>
      <c r="KS206" s="14"/>
      <c r="KT206" s="14"/>
      <c r="KU206" s="14"/>
      <c r="KV206" s="14"/>
      <c r="KW206" s="14"/>
      <c r="KX206" s="14"/>
      <c r="KY206" s="14"/>
      <c r="KZ206" s="14"/>
      <c r="LA206" s="14"/>
      <c r="LB206" s="14"/>
    </row>
    <row r="207" spans="7:314" s="9" customFormat="1">
      <c r="G207" s="16"/>
      <c r="H207" s="16"/>
      <c r="O207" s="46"/>
      <c r="P207" s="42"/>
      <c r="Q207" s="42"/>
      <c r="R207" s="50"/>
      <c r="S207" s="42"/>
      <c r="T207" s="42"/>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row>
    <row r="208" spans="7:314" s="9" customFormat="1">
      <c r="G208" s="16"/>
      <c r="H208" s="16"/>
      <c r="O208" s="46"/>
      <c r="P208" s="42"/>
      <c r="Q208" s="42"/>
      <c r="R208" s="50"/>
      <c r="S208" s="42"/>
      <c r="T208" s="42"/>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c r="KO208" s="14"/>
      <c r="KP208" s="14"/>
      <c r="KQ208" s="14"/>
      <c r="KR208" s="14"/>
      <c r="KS208" s="14"/>
      <c r="KT208" s="14"/>
      <c r="KU208" s="14"/>
      <c r="KV208" s="14"/>
      <c r="KW208" s="14"/>
      <c r="KX208" s="14"/>
      <c r="KY208" s="14"/>
      <c r="KZ208" s="14"/>
      <c r="LA208" s="14"/>
      <c r="LB208" s="14"/>
    </row>
    <row r="209" spans="7:314" s="9" customFormat="1">
      <c r="G209" s="16"/>
      <c r="H209" s="16"/>
      <c r="O209" s="46"/>
      <c r="P209" s="42"/>
      <c r="Q209" s="42"/>
      <c r="R209" s="50"/>
      <c r="S209" s="42"/>
      <c r="T209" s="42"/>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c r="KO209" s="14"/>
      <c r="KP209" s="14"/>
      <c r="KQ209" s="14"/>
      <c r="KR209" s="14"/>
      <c r="KS209" s="14"/>
      <c r="KT209" s="14"/>
      <c r="KU209" s="14"/>
      <c r="KV209" s="14"/>
      <c r="KW209" s="14"/>
      <c r="KX209" s="14"/>
      <c r="KY209" s="14"/>
      <c r="KZ209" s="14"/>
      <c r="LA209" s="14"/>
      <c r="LB209" s="14"/>
    </row>
    <row r="210" spans="7:314" s="9" customFormat="1">
      <c r="G210" s="16"/>
      <c r="H210" s="16"/>
      <c r="O210" s="46"/>
      <c r="P210" s="42"/>
      <c r="Q210" s="42"/>
      <c r="R210" s="50"/>
      <c r="S210" s="42"/>
      <c r="T210" s="42"/>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c r="KO210" s="14"/>
      <c r="KP210" s="14"/>
      <c r="KQ210" s="14"/>
      <c r="KR210" s="14"/>
      <c r="KS210" s="14"/>
      <c r="KT210" s="14"/>
      <c r="KU210" s="14"/>
      <c r="KV210" s="14"/>
      <c r="KW210" s="14"/>
      <c r="KX210" s="14"/>
      <c r="KY210" s="14"/>
      <c r="KZ210" s="14"/>
      <c r="LA210" s="14"/>
      <c r="LB210" s="14"/>
    </row>
    <row r="211" spans="7:314" s="9" customFormat="1">
      <c r="G211" s="16"/>
      <c r="H211" s="16"/>
      <c r="O211" s="46"/>
      <c r="P211" s="42"/>
      <c r="Q211" s="42"/>
      <c r="R211" s="50"/>
      <c r="S211" s="42"/>
      <c r="T211" s="42"/>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c r="KO211" s="14"/>
      <c r="KP211" s="14"/>
      <c r="KQ211" s="14"/>
      <c r="KR211" s="14"/>
      <c r="KS211" s="14"/>
      <c r="KT211" s="14"/>
      <c r="KU211" s="14"/>
      <c r="KV211" s="14"/>
      <c r="KW211" s="14"/>
      <c r="KX211" s="14"/>
      <c r="KY211" s="14"/>
      <c r="KZ211" s="14"/>
      <c r="LA211" s="14"/>
      <c r="LB211" s="14"/>
    </row>
    <row r="212" spans="7:314" s="9" customFormat="1">
      <c r="G212" s="16"/>
      <c r="H212" s="16"/>
      <c r="O212" s="46"/>
      <c r="P212" s="42"/>
      <c r="Q212" s="42"/>
      <c r="R212" s="50"/>
      <c r="S212" s="42"/>
      <c r="T212" s="42"/>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c r="KO212" s="14"/>
      <c r="KP212" s="14"/>
      <c r="KQ212" s="14"/>
      <c r="KR212" s="14"/>
      <c r="KS212" s="14"/>
      <c r="KT212" s="14"/>
      <c r="KU212" s="14"/>
      <c r="KV212" s="14"/>
      <c r="KW212" s="14"/>
      <c r="KX212" s="14"/>
      <c r="KY212" s="14"/>
      <c r="KZ212" s="14"/>
      <c r="LA212" s="14"/>
      <c r="LB212" s="14"/>
    </row>
    <row r="213" spans="7:314" s="9" customFormat="1">
      <c r="G213" s="16"/>
      <c r="H213" s="16"/>
      <c r="O213" s="46"/>
      <c r="P213" s="42"/>
      <c r="Q213" s="42"/>
      <c r="R213" s="50"/>
      <c r="S213" s="42"/>
      <c r="T213" s="42"/>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c r="KO213" s="14"/>
      <c r="KP213" s="14"/>
      <c r="KQ213" s="14"/>
      <c r="KR213" s="14"/>
      <c r="KS213" s="14"/>
      <c r="KT213" s="14"/>
      <c r="KU213" s="14"/>
      <c r="KV213" s="14"/>
      <c r="KW213" s="14"/>
      <c r="KX213" s="14"/>
      <c r="KY213" s="14"/>
      <c r="KZ213" s="14"/>
      <c r="LA213" s="14"/>
      <c r="LB213" s="14"/>
    </row>
    <row r="214" spans="7:314" s="9" customFormat="1">
      <c r="G214" s="16"/>
      <c r="H214" s="16"/>
      <c r="O214" s="46"/>
      <c r="P214" s="42"/>
      <c r="Q214" s="42"/>
      <c r="R214" s="50"/>
      <c r="S214" s="42"/>
      <c r="T214" s="42"/>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c r="KO214" s="14"/>
      <c r="KP214" s="14"/>
      <c r="KQ214" s="14"/>
      <c r="KR214" s="14"/>
      <c r="KS214" s="14"/>
      <c r="KT214" s="14"/>
      <c r="KU214" s="14"/>
      <c r="KV214" s="14"/>
      <c r="KW214" s="14"/>
      <c r="KX214" s="14"/>
      <c r="KY214" s="14"/>
      <c r="KZ214" s="14"/>
      <c r="LA214" s="14"/>
      <c r="LB214" s="14"/>
    </row>
    <row r="215" spans="7:314" s="9" customFormat="1">
      <c r="G215" s="16"/>
      <c r="H215" s="16"/>
      <c r="O215" s="46"/>
      <c r="P215" s="42"/>
      <c r="Q215" s="42"/>
      <c r="R215" s="50"/>
      <c r="S215" s="42"/>
      <c r="T215" s="42"/>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c r="KO215" s="14"/>
      <c r="KP215" s="14"/>
      <c r="KQ215" s="14"/>
      <c r="KR215" s="14"/>
      <c r="KS215" s="14"/>
      <c r="KT215" s="14"/>
      <c r="KU215" s="14"/>
      <c r="KV215" s="14"/>
      <c r="KW215" s="14"/>
      <c r="KX215" s="14"/>
      <c r="KY215" s="14"/>
      <c r="KZ215" s="14"/>
      <c r="LA215" s="14"/>
      <c r="LB215" s="14"/>
    </row>
    <row r="216" spans="7:314" s="9" customFormat="1">
      <c r="G216" s="16"/>
      <c r="H216" s="16"/>
      <c r="O216" s="46"/>
      <c r="P216" s="42"/>
      <c r="Q216" s="42"/>
      <c r="R216" s="50"/>
      <c r="S216" s="42"/>
      <c r="T216" s="42"/>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c r="KO216" s="14"/>
      <c r="KP216" s="14"/>
      <c r="KQ216" s="14"/>
      <c r="KR216" s="14"/>
      <c r="KS216" s="14"/>
      <c r="KT216" s="14"/>
      <c r="KU216" s="14"/>
      <c r="KV216" s="14"/>
      <c r="KW216" s="14"/>
      <c r="KX216" s="14"/>
      <c r="KY216" s="14"/>
      <c r="KZ216" s="14"/>
      <c r="LA216" s="14"/>
      <c r="LB216" s="14"/>
    </row>
    <row r="217" spans="7:314" s="9" customFormat="1">
      <c r="G217" s="16"/>
      <c r="H217" s="16"/>
      <c r="O217" s="46"/>
      <c r="P217" s="42"/>
      <c r="Q217" s="42"/>
      <c r="R217" s="50"/>
      <c r="S217" s="42"/>
      <c r="T217" s="42"/>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c r="KO217" s="14"/>
      <c r="KP217" s="14"/>
      <c r="KQ217" s="14"/>
      <c r="KR217" s="14"/>
      <c r="KS217" s="14"/>
      <c r="KT217" s="14"/>
      <c r="KU217" s="14"/>
      <c r="KV217" s="14"/>
      <c r="KW217" s="14"/>
      <c r="KX217" s="14"/>
      <c r="KY217" s="14"/>
      <c r="KZ217" s="14"/>
      <c r="LA217" s="14"/>
      <c r="LB217" s="14"/>
    </row>
    <row r="218" spans="7:314" s="9" customFormat="1">
      <c r="G218" s="16"/>
      <c r="H218" s="16"/>
      <c r="O218" s="46"/>
      <c r="P218" s="42"/>
      <c r="Q218" s="42"/>
      <c r="R218" s="50"/>
      <c r="S218" s="42"/>
      <c r="T218" s="42"/>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c r="KO218" s="14"/>
      <c r="KP218" s="14"/>
      <c r="KQ218" s="14"/>
      <c r="KR218" s="14"/>
      <c r="KS218" s="14"/>
      <c r="KT218" s="14"/>
      <c r="KU218" s="14"/>
      <c r="KV218" s="14"/>
      <c r="KW218" s="14"/>
      <c r="KX218" s="14"/>
      <c r="KY218" s="14"/>
      <c r="KZ218" s="14"/>
      <c r="LA218" s="14"/>
      <c r="LB218" s="14"/>
    </row>
    <row r="219" spans="7:314" s="9" customFormat="1">
      <c r="G219" s="16"/>
      <c r="H219" s="16"/>
      <c r="O219" s="46"/>
      <c r="P219" s="42"/>
      <c r="Q219" s="42"/>
      <c r="R219" s="50"/>
      <c r="S219" s="42"/>
      <c r="T219" s="42"/>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c r="KO219" s="14"/>
      <c r="KP219" s="14"/>
      <c r="KQ219" s="14"/>
      <c r="KR219" s="14"/>
      <c r="KS219" s="14"/>
      <c r="KT219" s="14"/>
      <c r="KU219" s="14"/>
      <c r="KV219" s="14"/>
      <c r="KW219" s="14"/>
      <c r="KX219" s="14"/>
      <c r="KY219" s="14"/>
      <c r="KZ219" s="14"/>
      <c r="LA219" s="14"/>
      <c r="LB219" s="14"/>
    </row>
    <row r="220" spans="7:314" s="9" customFormat="1">
      <c r="G220" s="16"/>
      <c r="H220" s="16"/>
      <c r="O220" s="46"/>
      <c r="P220" s="42"/>
      <c r="Q220" s="42"/>
      <c r="R220" s="50"/>
      <c r="S220" s="42"/>
      <c r="T220" s="42"/>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c r="KO220" s="14"/>
      <c r="KP220" s="14"/>
      <c r="KQ220" s="14"/>
      <c r="KR220" s="14"/>
      <c r="KS220" s="14"/>
      <c r="KT220" s="14"/>
      <c r="KU220" s="14"/>
      <c r="KV220" s="14"/>
      <c r="KW220" s="14"/>
      <c r="KX220" s="14"/>
      <c r="KY220" s="14"/>
      <c r="KZ220" s="14"/>
      <c r="LA220" s="14"/>
      <c r="LB220" s="14"/>
    </row>
    <row r="221" spans="7:314" s="9" customFormat="1">
      <c r="G221" s="16"/>
      <c r="H221" s="16"/>
      <c r="O221" s="46"/>
      <c r="P221" s="42"/>
      <c r="Q221" s="42"/>
      <c r="R221" s="50"/>
      <c r="S221" s="42"/>
      <c r="T221" s="42"/>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c r="KO221" s="14"/>
      <c r="KP221" s="14"/>
      <c r="KQ221" s="14"/>
      <c r="KR221" s="14"/>
      <c r="KS221" s="14"/>
      <c r="KT221" s="14"/>
      <c r="KU221" s="14"/>
      <c r="KV221" s="14"/>
      <c r="KW221" s="14"/>
      <c r="KX221" s="14"/>
      <c r="KY221" s="14"/>
      <c r="KZ221" s="14"/>
      <c r="LA221" s="14"/>
      <c r="LB221" s="14"/>
    </row>
    <row r="222" spans="7:314" s="9" customFormat="1">
      <c r="G222" s="16"/>
      <c r="H222" s="16"/>
      <c r="O222" s="46"/>
      <c r="P222" s="42"/>
      <c r="Q222" s="42"/>
      <c r="R222" s="50"/>
      <c r="S222" s="42"/>
      <c r="T222" s="42"/>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c r="KO222" s="14"/>
      <c r="KP222" s="14"/>
      <c r="KQ222" s="14"/>
      <c r="KR222" s="14"/>
      <c r="KS222" s="14"/>
      <c r="KT222" s="14"/>
      <c r="KU222" s="14"/>
      <c r="KV222" s="14"/>
      <c r="KW222" s="14"/>
      <c r="KX222" s="14"/>
      <c r="KY222" s="14"/>
      <c r="KZ222" s="14"/>
      <c r="LA222" s="14"/>
      <c r="LB222" s="14"/>
    </row>
    <row r="223" spans="7:314" s="9" customFormat="1">
      <c r="G223" s="16"/>
      <c r="H223" s="16"/>
      <c r="O223" s="46"/>
      <c r="P223" s="42"/>
      <c r="Q223" s="42"/>
      <c r="R223" s="50"/>
      <c r="S223" s="42"/>
      <c r="T223" s="42"/>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c r="KO223" s="14"/>
      <c r="KP223" s="14"/>
      <c r="KQ223" s="14"/>
      <c r="KR223" s="14"/>
      <c r="KS223" s="14"/>
      <c r="KT223" s="14"/>
      <c r="KU223" s="14"/>
      <c r="KV223" s="14"/>
      <c r="KW223" s="14"/>
      <c r="KX223" s="14"/>
      <c r="KY223" s="14"/>
      <c r="KZ223" s="14"/>
      <c r="LA223" s="14"/>
      <c r="LB223" s="14"/>
    </row>
    <row r="224" spans="7:314" s="9" customFormat="1">
      <c r="G224" s="16"/>
      <c r="H224" s="16"/>
      <c r="O224" s="46"/>
      <c r="P224" s="42"/>
      <c r="Q224" s="42"/>
      <c r="R224" s="50"/>
      <c r="S224" s="42"/>
      <c r="T224" s="42"/>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c r="KO224" s="14"/>
      <c r="KP224" s="14"/>
      <c r="KQ224" s="14"/>
      <c r="KR224" s="14"/>
      <c r="KS224" s="14"/>
      <c r="KT224" s="14"/>
      <c r="KU224" s="14"/>
      <c r="KV224" s="14"/>
      <c r="KW224" s="14"/>
      <c r="KX224" s="14"/>
      <c r="KY224" s="14"/>
      <c r="KZ224" s="14"/>
      <c r="LA224" s="14"/>
      <c r="LB224" s="14"/>
    </row>
    <row r="225" spans="7:314" s="9" customFormat="1">
      <c r="G225" s="16"/>
      <c r="H225" s="16"/>
      <c r="O225" s="46"/>
      <c r="P225" s="42"/>
      <c r="Q225" s="42"/>
      <c r="R225" s="50"/>
      <c r="S225" s="42"/>
      <c r="T225" s="42"/>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c r="KO225" s="14"/>
      <c r="KP225" s="14"/>
      <c r="KQ225" s="14"/>
      <c r="KR225" s="14"/>
      <c r="KS225" s="14"/>
      <c r="KT225" s="14"/>
      <c r="KU225" s="14"/>
      <c r="KV225" s="14"/>
      <c r="KW225" s="14"/>
      <c r="KX225" s="14"/>
      <c r="KY225" s="14"/>
      <c r="KZ225" s="14"/>
      <c r="LA225" s="14"/>
      <c r="LB225" s="14"/>
    </row>
    <row r="226" spans="7:314" s="9" customFormat="1">
      <c r="G226" s="16"/>
      <c r="H226" s="16"/>
      <c r="O226" s="46"/>
      <c r="P226" s="42"/>
      <c r="Q226" s="42"/>
      <c r="R226" s="50"/>
      <c r="S226" s="42"/>
      <c r="T226" s="42"/>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c r="KO226" s="14"/>
      <c r="KP226" s="14"/>
      <c r="KQ226" s="14"/>
      <c r="KR226" s="14"/>
      <c r="KS226" s="14"/>
      <c r="KT226" s="14"/>
      <c r="KU226" s="14"/>
      <c r="KV226" s="14"/>
      <c r="KW226" s="14"/>
      <c r="KX226" s="14"/>
      <c r="KY226" s="14"/>
      <c r="KZ226" s="14"/>
      <c r="LA226" s="14"/>
      <c r="LB226" s="14"/>
    </row>
    <row r="227" spans="7:314" s="9" customFormat="1">
      <c r="G227" s="16"/>
      <c r="H227" s="16"/>
      <c r="O227" s="46"/>
      <c r="P227" s="42"/>
      <c r="Q227" s="42"/>
      <c r="R227" s="50"/>
      <c r="S227" s="42"/>
      <c r="T227" s="42"/>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c r="KO227" s="14"/>
      <c r="KP227" s="14"/>
      <c r="KQ227" s="14"/>
      <c r="KR227" s="14"/>
      <c r="KS227" s="14"/>
      <c r="KT227" s="14"/>
      <c r="KU227" s="14"/>
      <c r="KV227" s="14"/>
      <c r="KW227" s="14"/>
      <c r="KX227" s="14"/>
      <c r="KY227" s="14"/>
      <c r="KZ227" s="14"/>
      <c r="LA227" s="14"/>
      <c r="LB227" s="14"/>
    </row>
    <row r="228" spans="7:314" s="9" customFormat="1">
      <c r="G228" s="16"/>
      <c r="H228" s="16"/>
      <c r="O228" s="46"/>
      <c r="P228" s="42"/>
      <c r="Q228" s="42"/>
      <c r="R228" s="50"/>
      <c r="S228" s="42"/>
      <c r="T228" s="42"/>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c r="KO228" s="14"/>
      <c r="KP228" s="14"/>
      <c r="KQ228" s="14"/>
      <c r="KR228" s="14"/>
      <c r="KS228" s="14"/>
      <c r="KT228" s="14"/>
      <c r="KU228" s="14"/>
      <c r="KV228" s="14"/>
      <c r="KW228" s="14"/>
      <c r="KX228" s="14"/>
      <c r="KY228" s="14"/>
      <c r="KZ228" s="14"/>
      <c r="LA228" s="14"/>
      <c r="LB228" s="14"/>
    </row>
    <row r="229" spans="7:314" s="9" customFormat="1">
      <c r="G229" s="16"/>
      <c r="H229" s="16"/>
      <c r="O229" s="46"/>
      <c r="P229" s="42"/>
      <c r="Q229" s="42"/>
      <c r="R229" s="50"/>
      <c r="S229" s="42"/>
      <c r="T229" s="42"/>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c r="KO229" s="14"/>
      <c r="KP229" s="14"/>
      <c r="KQ229" s="14"/>
      <c r="KR229" s="14"/>
      <c r="KS229" s="14"/>
      <c r="KT229" s="14"/>
      <c r="KU229" s="14"/>
      <c r="KV229" s="14"/>
      <c r="KW229" s="14"/>
      <c r="KX229" s="14"/>
      <c r="KY229" s="14"/>
      <c r="KZ229" s="14"/>
      <c r="LA229" s="14"/>
      <c r="LB229" s="14"/>
    </row>
    <row r="230" spans="7:314" s="9" customFormat="1">
      <c r="G230" s="16"/>
      <c r="H230" s="16"/>
      <c r="O230" s="46"/>
      <c r="P230" s="42"/>
      <c r="Q230" s="42"/>
      <c r="R230" s="50"/>
      <c r="S230" s="42"/>
      <c r="T230" s="42"/>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c r="KO230" s="14"/>
      <c r="KP230" s="14"/>
      <c r="KQ230" s="14"/>
      <c r="KR230" s="14"/>
      <c r="KS230" s="14"/>
      <c r="KT230" s="14"/>
      <c r="KU230" s="14"/>
      <c r="KV230" s="14"/>
      <c r="KW230" s="14"/>
      <c r="KX230" s="14"/>
      <c r="KY230" s="14"/>
      <c r="KZ230" s="14"/>
      <c r="LA230" s="14"/>
      <c r="LB230" s="14"/>
    </row>
    <row r="231" spans="7:314" s="9" customFormat="1">
      <c r="G231" s="16"/>
      <c r="H231" s="16"/>
      <c r="O231" s="46"/>
      <c r="P231" s="42"/>
      <c r="Q231" s="42"/>
      <c r="R231" s="50"/>
      <c r="S231" s="42"/>
      <c r="T231" s="42"/>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c r="KO231" s="14"/>
      <c r="KP231" s="14"/>
      <c r="KQ231" s="14"/>
      <c r="KR231" s="14"/>
      <c r="KS231" s="14"/>
      <c r="KT231" s="14"/>
      <c r="KU231" s="14"/>
      <c r="KV231" s="14"/>
      <c r="KW231" s="14"/>
      <c r="KX231" s="14"/>
      <c r="KY231" s="14"/>
      <c r="KZ231" s="14"/>
      <c r="LA231" s="14"/>
      <c r="LB231" s="14"/>
    </row>
    <row r="232" spans="7:314" s="9" customFormat="1">
      <c r="G232" s="16"/>
      <c r="H232" s="16"/>
      <c r="O232" s="46"/>
      <c r="P232" s="42"/>
      <c r="Q232" s="42"/>
      <c r="R232" s="50"/>
      <c r="S232" s="42"/>
      <c r="T232" s="42"/>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c r="KO232" s="14"/>
      <c r="KP232" s="14"/>
      <c r="KQ232" s="14"/>
      <c r="KR232" s="14"/>
      <c r="KS232" s="14"/>
      <c r="KT232" s="14"/>
      <c r="KU232" s="14"/>
      <c r="KV232" s="14"/>
      <c r="KW232" s="14"/>
      <c r="KX232" s="14"/>
      <c r="KY232" s="14"/>
      <c r="KZ232" s="14"/>
      <c r="LA232" s="14"/>
      <c r="LB232" s="14"/>
    </row>
    <row r="233" spans="7:314" s="9" customFormat="1">
      <c r="G233" s="16"/>
      <c r="H233" s="16"/>
      <c r="O233" s="46"/>
      <c r="P233" s="42"/>
      <c r="Q233" s="42"/>
      <c r="R233" s="50"/>
      <c r="S233" s="42"/>
      <c r="T233" s="42"/>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c r="KO233" s="14"/>
      <c r="KP233" s="14"/>
      <c r="KQ233" s="14"/>
      <c r="KR233" s="14"/>
      <c r="KS233" s="14"/>
      <c r="KT233" s="14"/>
      <c r="KU233" s="14"/>
      <c r="KV233" s="14"/>
      <c r="KW233" s="14"/>
      <c r="KX233" s="14"/>
      <c r="KY233" s="14"/>
      <c r="KZ233" s="14"/>
      <c r="LA233" s="14"/>
      <c r="LB233" s="14"/>
    </row>
    <row r="234" spans="7:314" s="9" customFormat="1">
      <c r="G234" s="16"/>
      <c r="H234" s="16"/>
      <c r="O234" s="46"/>
      <c r="P234" s="42"/>
      <c r="Q234" s="42"/>
      <c r="R234" s="50"/>
      <c r="S234" s="42"/>
      <c r="T234" s="42"/>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c r="KO234" s="14"/>
      <c r="KP234" s="14"/>
      <c r="KQ234" s="14"/>
      <c r="KR234" s="14"/>
      <c r="KS234" s="14"/>
      <c r="KT234" s="14"/>
      <c r="KU234" s="14"/>
      <c r="KV234" s="14"/>
      <c r="KW234" s="14"/>
      <c r="KX234" s="14"/>
      <c r="KY234" s="14"/>
      <c r="KZ234" s="14"/>
      <c r="LA234" s="14"/>
      <c r="LB234" s="14"/>
    </row>
    <row r="235" spans="7:314" s="9" customFormat="1">
      <c r="G235" s="16"/>
      <c r="H235" s="16"/>
      <c r="O235" s="46"/>
      <c r="P235" s="42"/>
      <c r="Q235" s="42"/>
      <c r="R235" s="50"/>
      <c r="S235" s="42"/>
      <c r="T235" s="42"/>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c r="KO235" s="14"/>
      <c r="KP235" s="14"/>
      <c r="KQ235" s="14"/>
      <c r="KR235" s="14"/>
      <c r="KS235" s="14"/>
      <c r="KT235" s="14"/>
      <c r="KU235" s="14"/>
      <c r="KV235" s="14"/>
      <c r="KW235" s="14"/>
      <c r="KX235" s="14"/>
      <c r="KY235" s="14"/>
      <c r="KZ235" s="14"/>
      <c r="LA235" s="14"/>
      <c r="LB235" s="14"/>
    </row>
    <row r="236" spans="7:314" s="9" customFormat="1">
      <c r="G236" s="16"/>
      <c r="H236" s="16"/>
      <c r="O236" s="46"/>
      <c r="P236" s="42"/>
      <c r="Q236" s="42"/>
      <c r="R236" s="50"/>
      <c r="S236" s="42"/>
      <c r="T236" s="42"/>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c r="KO236" s="14"/>
      <c r="KP236" s="14"/>
      <c r="KQ236" s="14"/>
      <c r="KR236" s="14"/>
      <c r="KS236" s="14"/>
      <c r="KT236" s="14"/>
      <c r="KU236" s="14"/>
      <c r="KV236" s="14"/>
      <c r="KW236" s="14"/>
      <c r="KX236" s="14"/>
      <c r="KY236" s="14"/>
      <c r="KZ236" s="14"/>
      <c r="LA236" s="14"/>
      <c r="LB236" s="14"/>
    </row>
    <row r="237" spans="7:314" s="9" customFormat="1">
      <c r="G237" s="16"/>
      <c r="H237" s="16"/>
      <c r="O237" s="46"/>
      <c r="P237" s="42"/>
      <c r="Q237" s="42"/>
      <c r="R237" s="50"/>
      <c r="S237" s="42"/>
      <c r="T237" s="42"/>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c r="KO237" s="14"/>
      <c r="KP237" s="14"/>
      <c r="KQ237" s="14"/>
      <c r="KR237" s="14"/>
      <c r="KS237" s="14"/>
      <c r="KT237" s="14"/>
      <c r="KU237" s="14"/>
      <c r="KV237" s="14"/>
      <c r="KW237" s="14"/>
      <c r="KX237" s="14"/>
      <c r="KY237" s="14"/>
      <c r="KZ237" s="14"/>
      <c r="LA237" s="14"/>
      <c r="LB237" s="14"/>
    </row>
    <row r="238" spans="7:314" s="9" customFormat="1">
      <c r="G238" s="16"/>
      <c r="H238" s="16"/>
      <c r="O238" s="46"/>
      <c r="P238" s="42"/>
      <c r="Q238" s="42"/>
      <c r="R238" s="50"/>
      <c r="S238" s="42"/>
      <c r="T238" s="42"/>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c r="KO238" s="14"/>
      <c r="KP238" s="14"/>
      <c r="KQ238" s="14"/>
      <c r="KR238" s="14"/>
      <c r="KS238" s="14"/>
      <c r="KT238" s="14"/>
      <c r="KU238" s="14"/>
      <c r="KV238" s="14"/>
      <c r="KW238" s="14"/>
      <c r="KX238" s="14"/>
      <c r="KY238" s="14"/>
      <c r="KZ238" s="14"/>
      <c r="LA238" s="14"/>
      <c r="LB238" s="14"/>
    </row>
    <row r="239" spans="7:314" s="9" customFormat="1">
      <c r="G239" s="16"/>
      <c r="H239" s="16"/>
      <c r="O239" s="46"/>
      <c r="P239" s="42"/>
      <c r="Q239" s="42"/>
      <c r="R239" s="50"/>
      <c r="S239" s="42"/>
      <c r="T239" s="42"/>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c r="KO239" s="14"/>
      <c r="KP239" s="14"/>
      <c r="KQ239" s="14"/>
      <c r="KR239" s="14"/>
      <c r="KS239" s="14"/>
      <c r="KT239" s="14"/>
      <c r="KU239" s="14"/>
      <c r="KV239" s="14"/>
      <c r="KW239" s="14"/>
      <c r="KX239" s="14"/>
      <c r="KY239" s="14"/>
      <c r="KZ239" s="14"/>
      <c r="LA239" s="14"/>
      <c r="LB239" s="14"/>
    </row>
    <row r="240" spans="7:314" s="9" customFormat="1">
      <c r="G240" s="16"/>
      <c r="H240" s="16"/>
      <c r="O240" s="46"/>
      <c r="P240" s="42"/>
      <c r="Q240" s="42"/>
      <c r="R240" s="50"/>
      <c r="S240" s="42"/>
      <c r="T240" s="42"/>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c r="KO240" s="14"/>
      <c r="KP240" s="14"/>
      <c r="KQ240" s="14"/>
      <c r="KR240" s="14"/>
      <c r="KS240" s="14"/>
      <c r="KT240" s="14"/>
      <c r="KU240" s="14"/>
      <c r="KV240" s="14"/>
      <c r="KW240" s="14"/>
      <c r="KX240" s="14"/>
      <c r="KY240" s="14"/>
      <c r="KZ240" s="14"/>
      <c r="LA240" s="14"/>
      <c r="LB240" s="14"/>
    </row>
    <row r="241" spans="7:314" s="9" customFormat="1">
      <c r="G241" s="16"/>
      <c r="H241" s="16"/>
      <c r="O241" s="46"/>
      <c r="P241" s="42"/>
      <c r="Q241" s="42"/>
      <c r="R241" s="50"/>
      <c r="S241" s="42"/>
      <c r="T241" s="42"/>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c r="KO241" s="14"/>
      <c r="KP241" s="14"/>
      <c r="KQ241" s="14"/>
      <c r="KR241" s="14"/>
      <c r="KS241" s="14"/>
      <c r="KT241" s="14"/>
      <c r="KU241" s="14"/>
      <c r="KV241" s="14"/>
      <c r="KW241" s="14"/>
      <c r="KX241" s="14"/>
      <c r="KY241" s="14"/>
      <c r="KZ241" s="14"/>
      <c r="LA241" s="14"/>
      <c r="LB241" s="14"/>
    </row>
    <row r="242" spans="7:314" s="9" customFormat="1">
      <c r="G242" s="16"/>
      <c r="H242" s="16"/>
      <c r="O242" s="46"/>
      <c r="P242" s="42"/>
      <c r="Q242" s="42"/>
      <c r="R242" s="50"/>
      <c r="S242" s="42"/>
      <c r="T242" s="42"/>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c r="KO242" s="14"/>
      <c r="KP242" s="14"/>
      <c r="KQ242" s="14"/>
      <c r="KR242" s="14"/>
      <c r="KS242" s="14"/>
      <c r="KT242" s="14"/>
      <c r="KU242" s="14"/>
      <c r="KV242" s="14"/>
      <c r="KW242" s="14"/>
      <c r="KX242" s="14"/>
      <c r="KY242" s="14"/>
      <c r="KZ242" s="14"/>
      <c r="LA242" s="14"/>
      <c r="LB242" s="14"/>
    </row>
    <row r="243" spans="7:314" s="9" customFormat="1">
      <c r="G243" s="16"/>
      <c r="H243" s="16"/>
      <c r="O243" s="46"/>
      <c r="P243" s="42"/>
      <c r="Q243" s="42"/>
      <c r="R243" s="50"/>
      <c r="S243" s="42"/>
      <c r="T243" s="42"/>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c r="KO243" s="14"/>
      <c r="KP243" s="14"/>
      <c r="KQ243" s="14"/>
      <c r="KR243" s="14"/>
      <c r="KS243" s="14"/>
      <c r="KT243" s="14"/>
      <c r="KU243" s="14"/>
      <c r="KV243" s="14"/>
      <c r="KW243" s="14"/>
      <c r="KX243" s="14"/>
      <c r="KY243" s="14"/>
      <c r="KZ243" s="14"/>
      <c r="LA243" s="14"/>
      <c r="LB243" s="14"/>
    </row>
    <row r="244" spans="7:314" s="9" customFormat="1">
      <c r="G244" s="16"/>
      <c r="H244" s="16"/>
      <c r="O244" s="46"/>
      <c r="P244" s="42"/>
      <c r="Q244" s="42"/>
      <c r="R244" s="50"/>
      <c r="S244" s="42"/>
      <c r="T244" s="42"/>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c r="KO244" s="14"/>
      <c r="KP244" s="14"/>
      <c r="KQ244" s="14"/>
      <c r="KR244" s="14"/>
      <c r="KS244" s="14"/>
      <c r="KT244" s="14"/>
      <c r="KU244" s="14"/>
      <c r="KV244" s="14"/>
      <c r="KW244" s="14"/>
      <c r="KX244" s="14"/>
      <c r="KY244" s="14"/>
      <c r="KZ244" s="14"/>
      <c r="LA244" s="14"/>
      <c r="LB244" s="14"/>
    </row>
    <row r="245" spans="7:314" s="9" customFormat="1">
      <c r="G245" s="16"/>
      <c r="H245" s="16"/>
      <c r="O245" s="46"/>
      <c r="P245" s="42"/>
      <c r="Q245" s="42"/>
      <c r="R245" s="50"/>
      <c r="S245" s="42"/>
      <c r="T245" s="42"/>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c r="KO245" s="14"/>
      <c r="KP245" s="14"/>
      <c r="KQ245" s="14"/>
      <c r="KR245" s="14"/>
      <c r="KS245" s="14"/>
      <c r="KT245" s="14"/>
      <c r="KU245" s="14"/>
      <c r="KV245" s="14"/>
      <c r="KW245" s="14"/>
      <c r="KX245" s="14"/>
      <c r="KY245" s="14"/>
      <c r="KZ245" s="14"/>
      <c r="LA245" s="14"/>
      <c r="LB245" s="14"/>
    </row>
    <row r="246" spans="7:314" s="9" customFormat="1">
      <c r="G246" s="16"/>
      <c r="H246" s="16"/>
      <c r="O246" s="46"/>
      <c r="P246" s="42"/>
      <c r="Q246" s="42"/>
      <c r="R246" s="50"/>
      <c r="S246" s="42"/>
      <c r="T246" s="42"/>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c r="KO246" s="14"/>
      <c r="KP246" s="14"/>
      <c r="KQ246" s="14"/>
      <c r="KR246" s="14"/>
      <c r="KS246" s="14"/>
      <c r="KT246" s="14"/>
      <c r="KU246" s="14"/>
      <c r="KV246" s="14"/>
      <c r="KW246" s="14"/>
      <c r="KX246" s="14"/>
      <c r="KY246" s="14"/>
      <c r="KZ246" s="14"/>
      <c r="LA246" s="14"/>
      <c r="LB246" s="14"/>
    </row>
    <row r="247" spans="7:314" s="9" customFormat="1">
      <c r="G247" s="16"/>
      <c r="H247" s="16"/>
      <c r="O247" s="46"/>
      <c r="P247" s="42"/>
      <c r="Q247" s="42"/>
      <c r="R247" s="50"/>
      <c r="S247" s="42"/>
      <c r="T247" s="42"/>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c r="KO247" s="14"/>
      <c r="KP247" s="14"/>
      <c r="KQ247" s="14"/>
      <c r="KR247" s="14"/>
      <c r="KS247" s="14"/>
      <c r="KT247" s="14"/>
      <c r="KU247" s="14"/>
      <c r="KV247" s="14"/>
      <c r="KW247" s="14"/>
      <c r="KX247" s="14"/>
      <c r="KY247" s="14"/>
      <c r="KZ247" s="14"/>
      <c r="LA247" s="14"/>
      <c r="LB247" s="14"/>
    </row>
    <row r="248" spans="7:314" s="9" customFormat="1">
      <c r="G248" s="16"/>
      <c r="H248" s="16"/>
      <c r="O248" s="46"/>
      <c r="P248" s="42"/>
      <c r="Q248" s="42"/>
      <c r="R248" s="50"/>
      <c r="S248" s="42"/>
      <c r="T248" s="42"/>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c r="KO248" s="14"/>
      <c r="KP248" s="14"/>
      <c r="KQ248" s="14"/>
      <c r="KR248" s="14"/>
      <c r="KS248" s="14"/>
      <c r="KT248" s="14"/>
      <c r="KU248" s="14"/>
      <c r="KV248" s="14"/>
      <c r="KW248" s="14"/>
      <c r="KX248" s="14"/>
      <c r="KY248" s="14"/>
      <c r="KZ248" s="14"/>
      <c r="LA248" s="14"/>
      <c r="LB248" s="14"/>
    </row>
    <row r="249" spans="7:314" s="9" customFormat="1">
      <c r="G249" s="16"/>
      <c r="H249" s="16"/>
      <c r="O249" s="46"/>
      <c r="P249" s="42"/>
      <c r="Q249" s="42"/>
      <c r="R249" s="50"/>
      <c r="S249" s="42"/>
      <c r="T249" s="42"/>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c r="KO249" s="14"/>
      <c r="KP249" s="14"/>
      <c r="KQ249" s="14"/>
      <c r="KR249" s="14"/>
      <c r="KS249" s="14"/>
      <c r="KT249" s="14"/>
      <c r="KU249" s="14"/>
      <c r="KV249" s="14"/>
      <c r="KW249" s="14"/>
      <c r="KX249" s="14"/>
      <c r="KY249" s="14"/>
      <c r="KZ249" s="14"/>
      <c r="LA249" s="14"/>
      <c r="LB249" s="14"/>
    </row>
    <row r="250" spans="7:314" s="9" customFormat="1">
      <c r="G250" s="16"/>
      <c r="H250" s="16"/>
      <c r="O250" s="46"/>
      <c r="P250" s="42"/>
      <c r="Q250" s="42"/>
      <c r="R250" s="50"/>
      <c r="S250" s="42"/>
      <c r="T250" s="42"/>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c r="KO250" s="14"/>
      <c r="KP250" s="14"/>
      <c r="KQ250" s="14"/>
      <c r="KR250" s="14"/>
      <c r="KS250" s="14"/>
      <c r="KT250" s="14"/>
      <c r="KU250" s="14"/>
      <c r="KV250" s="14"/>
      <c r="KW250" s="14"/>
      <c r="KX250" s="14"/>
      <c r="KY250" s="14"/>
      <c r="KZ250" s="14"/>
      <c r="LA250" s="14"/>
      <c r="LB250" s="14"/>
    </row>
    <row r="251" spans="7:314" s="9" customFormat="1">
      <c r="G251" s="16"/>
      <c r="H251" s="16"/>
      <c r="O251" s="46"/>
      <c r="P251" s="42"/>
      <c r="Q251" s="42"/>
      <c r="R251" s="50"/>
      <c r="S251" s="42"/>
      <c r="T251" s="42"/>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c r="KO251" s="14"/>
      <c r="KP251" s="14"/>
      <c r="KQ251" s="14"/>
      <c r="KR251" s="14"/>
      <c r="KS251" s="14"/>
      <c r="KT251" s="14"/>
      <c r="KU251" s="14"/>
      <c r="KV251" s="14"/>
      <c r="KW251" s="14"/>
      <c r="KX251" s="14"/>
      <c r="KY251" s="14"/>
      <c r="KZ251" s="14"/>
      <c r="LA251" s="14"/>
      <c r="LB251" s="14"/>
    </row>
    <row r="252" spans="7:314" s="9" customFormat="1">
      <c r="G252" s="16"/>
      <c r="H252" s="16"/>
      <c r="O252" s="46"/>
      <c r="P252" s="42"/>
      <c r="Q252" s="42"/>
      <c r="R252" s="50"/>
      <c r="S252" s="42"/>
      <c r="T252" s="42"/>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c r="KO252" s="14"/>
      <c r="KP252" s="14"/>
      <c r="KQ252" s="14"/>
      <c r="KR252" s="14"/>
      <c r="KS252" s="14"/>
      <c r="KT252" s="14"/>
      <c r="KU252" s="14"/>
      <c r="KV252" s="14"/>
      <c r="KW252" s="14"/>
      <c r="KX252" s="14"/>
      <c r="KY252" s="14"/>
      <c r="KZ252" s="14"/>
      <c r="LA252" s="14"/>
      <c r="LB252" s="14"/>
    </row>
    <row r="253" spans="7:314" s="9" customFormat="1">
      <c r="G253" s="16"/>
      <c r="H253" s="16"/>
      <c r="O253" s="46"/>
      <c r="P253" s="42"/>
      <c r="Q253" s="42"/>
      <c r="R253" s="50"/>
      <c r="S253" s="42"/>
      <c r="T253" s="42"/>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c r="KO253" s="14"/>
      <c r="KP253" s="14"/>
      <c r="KQ253" s="14"/>
      <c r="KR253" s="14"/>
      <c r="KS253" s="14"/>
      <c r="KT253" s="14"/>
      <c r="KU253" s="14"/>
      <c r="KV253" s="14"/>
      <c r="KW253" s="14"/>
      <c r="KX253" s="14"/>
      <c r="KY253" s="14"/>
      <c r="KZ253" s="14"/>
      <c r="LA253" s="14"/>
      <c r="LB253" s="14"/>
    </row>
    <row r="254" spans="7:314" s="9" customFormat="1">
      <c r="G254" s="16"/>
      <c r="H254" s="16"/>
      <c r="O254" s="46"/>
      <c r="P254" s="42"/>
      <c r="Q254" s="42"/>
      <c r="R254" s="50"/>
      <c r="S254" s="42"/>
      <c r="T254" s="42"/>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c r="KO254" s="14"/>
      <c r="KP254" s="14"/>
      <c r="KQ254" s="14"/>
      <c r="KR254" s="14"/>
      <c r="KS254" s="14"/>
      <c r="KT254" s="14"/>
      <c r="KU254" s="14"/>
      <c r="KV254" s="14"/>
      <c r="KW254" s="14"/>
      <c r="KX254" s="14"/>
      <c r="KY254" s="14"/>
      <c r="KZ254" s="14"/>
      <c r="LA254" s="14"/>
      <c r="LB254" s="14"/>
    </row>
    <row r="255" spans="7:314" s="9" customFormat="1">
      <c r="G255" s="16"/>
      <c r="H255" s="16"/>
      <c r="O255" s="46"/>
      <c r="P255" s="42"/>
      <c r="Q255" s="42"/>
      <c r="R255" s="50"/>
      <c r="S255" s="42"/>
      <c r="T255" s="42"/>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c r="KO255" s="14"/>
      <c r="KP255" s="14"/>
      <c r="KQ255" s="14"/>
      <c r="KR255" s="14"/>
      <c r="KS255" s="14"/>
      <c r="KT255" s="14"/>
      <c r="KU255" s="14"/>
      <c r="KV255" s="14"/>
      <c r="KW255" s="14"/>
      <c r="KX255" s="14"/>
      <c r="KY255" s="14"/>
      <c r="KZ255" s="14"/>
      <c r="LA255" s="14"/>
      <c r="LB255" s="14"/>
    </row>
    <row r="256" spans="7:314" s="9" customFormat="1">
      <c r="G256" s="16"/>
      <c r="H256" s="16"/>
      <c r="O256" s="46"/>
      <c r="P256" s="42"/>
      <c r="Q256" s="42"/>
      <c r="R256" s="50"/>
      <c r="S256" s="42"/>
      <c r="T256" s="42"/>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c r="KO256" s="14"/>
      <c r="KP256" s="14"/>
      <c r="KQ256" s="14"/>
      <c r="KR256" s="14"/>
      <c r="KS256" s="14"/>
      <c r="KT256" s="14"/>
      <c r="KU256" s="14"/>
      <c r="KV256" s="14"/>
      <c r="KW256" s="14"/>
      <c r="KX256" s="14"/>
      <c r="KY256" s="14"/>
      <c r="KZ256" s="14"/>
      <c r="LA256" s="14"/>
      <c r="LB256" s="14"/>
    </row>
    <row r="257" spans="7:314" s="9" customFormat="1">
      <c r="G257" s="16"/>
      <c r="H257" s="16"/>
      <c r="O257" s="46"/>
      <c r="P257" s="42"/>
      <c r="Q257" s="42"/>
      <c r="R257" s="50"/>
      <c r="S257" s="42"/>
      <c r="T257" s="42"/>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c r="KO257" s="14"/>
      <c r="KP257" s="14"/>
      <c r="KQ257" s="14"/>
      <c r="KR257" s="14"/>
      <c r="KS257" s="14"/>
      <c r="KT257" s="14"/>
      <c r="KU257" s="14"/>
      <c r="KV257" s="14"/>
      <c r="KW257" s="14"/>
      <c r="KX257" s="14"/>
      <c r="KY257" s="14"/>
      <c r="KZ257" s="14"/>
      <c r="LA257" s="14"/>
      <c r="LB257" s="14"/>
    </row>
    <row r="258" spans="7:314" s="9" customFormat="1">
      <c r="G258" s="16"/>
      <c r="H258" s="16"/>
      <c r="O258" s="46"/>
      <c r="P258" s="42"/>
      <c r="Q258" s="42"/>
      <c r="R258" s="50"/>
      <c r="S258" s="42"/>
      <c r="T258" s="42"/>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c r="KO258" s="14"/>
      <c r="KP258" s="14"/>
      <c r="KQ258" s="14"/>
      <c r="KR258" s="14"/>
      <c r="KS258" s="14"/>
      <c r="KT258" s="14"/>
      <c r="KU258" s="14"/>
      <c r="KV258" s="14"/>
      <c r="KW258" s="14"/>
      <c r="KX258" s="14"/>
      <c r="KY258" s="14"/>
      <c r="KZ258" s="14"/>
      <c r="LA258" s="14"/>
      <c r="LB258" s="14"/>
    </row>
    <row r="259" spans="7:314" s="9" customFormat="1">
      <c r="G259" s="16"/>
      <c r="H259" s="16"/>
      <c r="O259" s="46"/>
      <c r="P259" s="42"/>
      <c r="Q259" s="42"/>
      <c r="R259" s="50"/>
      <c r="S259" s="42"/>
      <c r="T259" s="42"/>
    </row>
    <row r="260" spans="7:314" s="9" customFormat="1">
      <c r="G260" s="16"/>
      <c r="H260" s="16"/>
      <c r="O260" s="46"/>
      <c r="P260" s="42"/>
      <c r="Q260" s="42"/>
      <c r="R260" s="50"/>
      <c r="S260" s="42"/>
      <c r="T260" s="42"/>
    </row>
    <row r="261" spans="7:314" s="9" customFormat="1">
      <c r="G261" s="16"/>
      <c r="H261" s="16"/>
      <c r="O261" s="46"/>
      <c r="P261" s="42"/>
      <c r="Q261" s="42"/>
      <c r="R261" s="50"/>
      <c r="S261" s="42"/>
      <c r="T261" s="42"/>
    </row>
    <row r="262" spans="7:314" s="9" customFormat="1">
      <c r="G262" s="16"/>
      <c r="H262" s="16"/>
      <c r="O262" s="46"/>
      <c r="P262" s="42"/>
      <c r="Q262" s="42"/>
      <c r="R262" s="50"/>
      <c r="S262" s="42"/>
      <c r="T262" s="42"/>
    </row>
    <row r="263" spans="7:314" s="9" customFormat="1">
      <c r="G263" s="16"/>
      <c r="H263" s="16"/>
      <c r="O263" s="46"/>
      <c r="P263" s="42"/>
      <c r="Q263" s="42"/>
      <c r="R263" s="50"/>
      <c r="S263" s="42"/>
      <c r="T263" s="42"/>
    </row>
    <row r="264" spans="7:314" s="9" customFormat="1">
      <c r="G264" s="16"/>
      <c r="H264" s="16"/>
      <c r="O264" s="46"/>
      <c r="P264" s="42"/>
      <c r="Q264" s="42"/>
      <c r="R264" s="50"/>
      <c r="S264" s="42"/>
      <c r="T264" s="42"/>
    </row>
    <row r="265" spans="7:314" s="9" customFormat="1">
      <c r="G265" s="16"/>
      <c r="H265" s="16"/>
      <c r="O265" s="46"/>
      <c r="P265" s="42"/>
      <c r="Q265" s="42"/>
      <c r="R265" s="50"/>
      <c r="S265" s="42"/>
      <c r="T265" s="42"/>
    </row>
    <row r="266" spans="7:314" s="9" customFormat="1">
      <c r="G266" s="16"/>
      <c r="H266" s="16"/>
      <c r="O266" s="46"/>
      <c r="P266" s="42"/>
      <c r="Q266" s="42"/>
      <c r="R266" s="50"/>
      <c r="S266" s="42"/>
      <c r="T266" s="42"/>
    </row>
    <row r="267" spans="7:314" s="9" customFormat="1">
      <c r="G267" s="16"/>
      <c r="H267" s="16"/>
      <c r="O267" s="46"/>
      <c r="P267" s="42"/>
      <c r="Q267" s="42"/>
      <c r="R267" s="50"/>
      <c r="S267" s="42"/>
      <c r="T267" s="42"/>
    </row>
    <row r="268" spans="7:314" s="9" customFormat="1">
      <c r="G268" s="16"/>
      <c r="H268" s="16"/>
      <c r="O268" s="46"/>
      <c r="P268" s="42"/>
      <c r="Q268" s="42"/>
      <c r="R268" s="50"/>
      <c r="S268" s="42"/>
      <c r="T268" s="42"/>
    </row>
    <row r="269" spans="7:314" s="9" customFormat="1">
      <c r="G269" s="16"/>
      <c r="H269" s="16"/>
      <c r="O269" s="46"/>
      <c r="P269" s="42"/>
      <c r="Q269" s="42"/>
      <c r="R269" s="50"/>
      <c r="S269" s="42"/>
      <c r="T269" s="42"/>
    </row>
    <row r="270" spans="7:314" s="9" customFormat="1">
      <c r="G270" s="16"/>
      <c r="H270" s="16"/>
      <c r="O270" s="46"/>
      <c r="P270" s="42"/>
      <c r="Q270" s="42"/>
      <c r="R270" s="50"/>
      <c r="S270" s="42"/>
      <c r="T270" s="42"/>
    </row>
    <row r="271" spans="7:314" s="9" customFormat="1">
      <c r="G271" s="16"/>
      <c r="H271" s="16"/>
      <c r="O271" s="46"/>
      <c r="P271" s="42"/>
      <c r="Q271" s="42"/>
      <c r="R271" s="50"/>
      <c r="S271" s="42"/>
      <c r="T271" s="42"/>
    </row>
    <row r="272" spans="7:314" s="9" customFormat="1">
      <c r="G272" s="16"/>
      <c r="H272" s="16"/>
      <c r="O272" s="46"/>
      <c r="P272" s="42"/>
      <c r="Q272" s="42"/>
      <c r="R272" s="50"/>
      <c r="S272" s="42"/>
      <c r="T272" s="42"/>
    </row>
    <row r="273" spans="7:20" s="9" customFormat="1">
      <c r="G273" s="16"/>
      <c r="H273" s="16"/>
      <c r="O273" s="46"/>
      <c r="P273" s="42"/>
      <c r="Q273" s="42"/>
      <c r="R273" s="50"/>
      <c r="S273" s="42"/>
      <c r="T273" s="42"/>
    </row>
    <row r="274" spans="7:20" s="9" customFormat="1">
      <c r="G274" s="16"/>
      <c r="H274" s="16"/>
      <c r="O274" s="46"/>
      <c r="P274" s="42"/>
      <c r="Q274" s="42"/>
      <c r="R274" s="50"/>
      <c r="S274" s="42"/>
      <c r="T274" s="42"/>
    </row>
    <row r="275" spans="7:20" s="9" customFormat="1">
      <c r="G275" s="16"/>
      <c r="H275" s="16"/>
      <c r="O275" s="46"/>
      <c r="P275" s="42"/>
      <c r="Q275" s="42"/>
      <c r="R275" s="50"/>
      <c r="S275" s="42"/>
      <c r="T275" s="42"/>
    </row>
    <row r="276" spans="7:20" s="9" customFormat="1">
      <c r="G276" s="16"/>
      <c r="H276" s="16"/>
      <c r="O276" s="46"/>
      <c r="P276" s="42"/>
      <c r="Q276" s="42"/>
      <c r="R276" s="50"/>
      <c r="S276" s="42"/>
      <c r="T276" s="42"/>
    </row>
    <row r="277" spans="7:20" s="9" customFormat="1">
      <c r="G277" s="16"/>
      <c r="H277" s="16"/>
      <c r="O277" s="46"/>
      <c r="P277" s="42"/>
      <c r="Q277" s="42"/>
      <c r="R277" s="50"/>
      <c r="S277" s="42"/>
      <c r="T277" s="42"/>
    </row>
    <row r="278" spans="7:20" s="9" customFormat="1">
      <c r="G278" s="16"/>
      <c r="H278" s="16"/>
      <c r="O278" s="46"/>
      <c r="P278" s="42"/>
      <c r="Q278" s="42"/>
      <c r="R278" s="50"/>
      <c r="S278" s="42"/>
      <c r="T278" s="42"/>
    </row>
    <row r="279" spans="7:20" s="9" customFormat="1">
      <c r="G279" s="16"/>
      <c r="H279" s="16"/>
      <c r="O279" s="46"/>
      <c r="P279" s="42"/>
      <c r="Q279" s="42"/>
      <c r="R279" s="50"/>
      <c r="S279" s="42"/>
      <c r="T279" s="42"/>
    </row>
    <row r="280" spans="7:20" s="9" customFormat="1">
      <c r="G280" s="16"/>
      <c r="H280" s="16"/>
      <c r="O280" s="46"/>
      <c r="P280" s="42"/>
      <c r="Q280" s="42"/>
      <c r="R280" s="50"/>
      <c r="S280" s="42"/>
      <c r="T280" s="42"/>
    </row>
    <row r="281" spans="7:20" s="9" customFormat="1">
      <c r="G281" s="16"/>
      <c r="H281" s="16"/>
      <c r="O281" s="46"/>
      <c r="P281" s="42"/>
      <c r="Q281" s="42"/>
      <c r="R281" s="50"/>
      <c r="S281" s="42"/>
      <c r="T281" s="42"/>
    </row>
    <row r="282" spans="7:20" s="9" customFormat="1">
      <c r="G282" s="16"/>
      <c r="H282" s="16"/>
      <c r="O282" s="46"/>
      <c r="P282" s="42"/>
      <c r="Q282" s="42"/>
      <c r="R282" s="50"/>
      <c r="S282" s="42"/>
      <c r="T282" s="42"/>
    </row>
    <row r="283" spans="7:20" s="9" customFormat="1">
      <c r="G283" s="16"/>
      <c r="H283" s="16"/>
      <c r="O283" s="46"/>
      <c r="P283" s="42"/>
      <c r="Q283" s="42"/>
      <c r="R283" s="50"/>
      <c r="S283" s="42"/>
      <c r="T283" s="42"/>
    </row>
    <row r="284" spans="7:20" s="9" customFormat="1">
      <c r="G284" s="16"/>
      <c r="H284" s="16"/>
      <c r="O284" s="46"/>
      <c r="P284" s="42"/>
      <c r="Q284" s="42"/>
      <c r="R284" s="50"/>
      <c r="S284" s="42"/>
      <c r="T284" s="42"/>
    </row>
    <row r="285" spans="7:20" s="9" customFormat="1">
      <c r="G285" s="16"/>
      <c r="H285" s="16"/>
      <c r="O285" s="46"/>
      <c r="P285" s="42"/>
      <c r="Q285" s="42"/>
      <c r="R285" s="50"/>
      <c r="S285" s="42"/>
      <c r="T285" s="42"/>
    </row>
    <row r="286" spans="7:20" s="9" customFormat="1">
      <c r="G286" s="16"/>
      <c r="H286" s="16"/>
      <c r="O286" s="46"/>
      <c r="P286" s="42"/>
      <c r="Q286" s="42"/>
      <c r="R286" s="50"/>
      <c r="S286" s="42"/>
      <c r="T286" s="42"/>
    </row>
    <row r="287" spans="7:20" s="9" customFormat="1">
      <c r="G287" s="16"/>
      <c r="H287" s="16"/>
      <c r="O287" s="46"/>
      <c r="P287" s="42"/>
      <c r="Q287" s="42"/>
      <c r="R287" s="50"/>
      <c r="S287" s="42"/>
      <c r="T287" s="42"/>
    </row>
    <row r="288" spans="7:20" s="9" customFormat="1">
      <c r="G288" s="16"/>
      <c r="H288" s="16"/>
      <c r="O288" s="46"/>
      <c r="P288" s="42"/>
      <c r="Q288" s="42"/>
      <c r="R288" s="50"/>
      <c r="S288" s="42"/>
      <c r="T288" s="42"/>
    </row>
    <row r="289" spans="7:20" s="9" customFormat="1">
      <c r="G289" s="16"/>
      <c r="H289" s="16"/>
      <c r="O289" s="46"/>
      <c r="P289" s="42"/>
      <c r="Q289" s="42"/>
      <c r="R289" s="50"/>
      <c r="S289" s="42"/>
      <c r="T289" s="42"/>
    </row>
    <row r="290" spans="7:20" s="9" customFormat="1">
      <c r="G290" s="16"/>
      <c r="H290" s="16"/>
      <c r="O290" s="46"/>
      <c r="P290" s="42"/>
      <c r="Q290" s="42"/>
      <c r="R290" s="50"/>
      <c r="S290" s="42"/>
      <c r="T290" s="42"/>
    </row>
    <row r="291" spans="7:20" s="9" customFormat="1">
      <c r="G291" s="16"/>
      <c r="H291" s="16"/>
      <c r="O291" s="46"/>
      <c r="P291" s="42"/>
      <c r="Q291" s="42"/>
      <c r="R291" s="50"/>
      <c r="S291" s="42"/>
      <c r="T291" s="42"/>
    </row>
    <row r="292" spans="7:20" s="9" customFormat="1">
      <c r="G292" s="16"/>
      <c r="H292" s="16"/>
      <c r="O292" s="46"/>
      <c r="P292" s="42"/>
      <c r="Q292" s="42"/>
      <c r="R292" s="50"/>
      <c r="S292" s="42"/>
      <c r="T292" s="42"/>
    </row>
    <row r="293" spans="7:20" s="9" customFormat="1">
      <c r="G293" s="16"/>
      <c r="H293" s="16"/>
      <c r="O293" s="46"/>
      <c r="P293" s="42"/>
      <c r="Q293" s="42"/>
      <c r="R293" s="50"/>
      <c r="S293" s="42"/>
      <c r="T293" s="42"/>
    </row>
    <row r="294" spans="7:20" s="9" customFormat="1">
      <c r="G294" s="16"/>
      <c r="H294" s="16"/>
      <c r="O294" s="46"/>
      <c r="P294" s="42"/>
      <c r="Q294" s="42"/>
      <c r="R294" s="50"/>
      <c r="S294" s="42"/>
      <c r="T294" s="42"/>
    </row>
    <row r="295" spans="7:20" s="9" customFormat="1">
      <c r="G295" s="16"/>
      <c r="H295" s="16"/>
      <c r="O295" s="46"/>
      <c r="P295" s="42"/>
      <c r="Q295" s="42"/>
      <c r="R295" s="50"/>
      <c r="S295" s="42"/>
      <c r="T295" s="42"/>
    </row>
    <row r="296" spans="7:20" s="9" customFormat="1">
      <c r="G296" s="16"/>
      <c r="H296" s="16"/>
      <c r="O296" s="46"/>
      <c r="P296" s="42"/>
      <c r="Q296" s="42"/>
      <c r="R296" s="50"/>
      <c r="S296" s="42"/>
      <c r="T296" s="42"/>
    </row>
    <row r="297" spans="7:20" s="9" customFormat="1">
      <c r="G297" s="16"/>
      <c r="H297" s="16"/>
      <c r="O297" s="46"/>
      <c r="P297" s="42"/>
      <c r="Q297" s="42"/>
      <c r="R297" s="50"/>
      <c r="S297" s="42"/>
      <c r="T297" s="42"/>
    </row>
    <row r="298" spans="7:20" s="9" customFormat="1">
      <c r="G298" s="16"/>
      <c r="H298" s="16"/>
      <c r="O298" s="46"/>
      <c r="P298" s="42"/>
      <c r="Q298" s="42"/>
      <c r="R298" s="50"/>
      <c r="S298" s="42"/>
      <c r="T298" s="42"/>
    </row>
    <row r="299" spans="7:20" s="9" customFormat="1">
      <c r="G299" s="16"/>
      <c r="H299" s="16"/>
      <c r="O299" s="46"/>
      <c r="P299" s="42"/>
      <c r="Q299" s="42"/>
      <c r="R299" s="50"/>
      <c r="S299" s="42"/>
      <c r="T299" s="42"/>
    </row>
    <row r="300" spans="7:20" s="9" customFormat="1">
      <c r="G300" s="16"/>
      <c r="H300" s="16"/>
      <c r="O300" s="46"/>
      <c r="P300" s="42"/>
      <c r="Q300" s="42"/>
      <c r="R300" s="50"/>
      <c r="S300" s="42"/>
      <c r="T300" s="42"/>
    </row>
    <row r="301" spans="7:20" s="9" customFormat="1">
      <c r="G301" s="16"/>
      <c r="H301" s="16"/>
      <c r="O301" s="46"/>
      <c r="P301" s="42"/>
      <c r="Q301" s="42"/>
      <c r="R301" s="50"/>
      <c r="S301" s="42"/>
      <c r="T301" s="42"/>
    </row>
    <row r="302" spans="7:20" s="9" customFormat="1">
      <c r="G302" s="16"/>
      <c r="H302" s="16"/>
      <c r="O302" s="46"/>
      <c r="P302" s="42"/>
      <c r="Q302" s="42"/>
      <c r="R302" s="50"/>
      <c r="S302" s="42"/>
      <c r="T302" s="42"/>
    </row>
    <row r="303" spans="7:20" s="9" customFormat="1">
      <c r="G303" s="16"/>
      <c r="H303" s="16"/>
      <c r="O303" s="46"/>
      <c r="P303" s="42"/>
      <c r="Q303" s="42"/>
      <c r="R303" s="50"/>
      <c r="S303" s="42"/>
      <c r="T303" s="42"/>
    </row>
    <row r="304" spans="7:20" s="9" customFormat="1">
      <c r="G304" s="16"/>
      <c r="H304" s="16"/>
      <c r="O304" s="46"/>
      <c r="P304" s="42"/>
      <c r="Q304" s="42"/>
      <c r="R304" s="50"/>
      <c r="S304" s="42"/>
      <c r="T304" s="42"/>
    </row>
    <row r="305" spans="7:20" s="9" customFormat="1">
      <c r="G305" s="16"/>
      <c r="H305" s="16"/>
      <c r="O305" s="46"/>
      <c r="P305" s="42"/>
      <c r="Q305" s="42"/>
      <c r="R305" s="50"/>
      <c r="S305" s="42"/>
      <c r="T305" s="42"/>
    </row>
    <row r="306" spans="7:20" s="9" customFormat="1">
      <c r="G306" s="16"/>
      <c r="H306" s="16"/>
      <c r="O306" s="46"/>
      <c r="P306" s="42"/>
      <c r="Q306" s="42"/>
      <c r="R306" s="50"/>
      <c r="S306" s="42"/>
      <c r="T306" s="42"/>
    </row>
    <row r="307" spans="7:20" s="9" customFormat="1">
      <c r="G307" s="16"/>
      <c r="H307" s="16"/>
      <c r="O307" s="46"/>
      <c r="P307" s="42"/>
      <c r="Q307" s="42"/>
      <c r="R307" s="50"/>
      <c r="S307" s="42"/>
      <c r="T307" s="42"/>
    </row>
    <row r="308" spans="7:20" s="9" customFormat="1">
      <c r="G308" s="16"/>
      <c r="H308" s="16"/>
      <c r="O308" s="46"/>
      <c r="P308" s="42"/>
      <c r="Q308" s="42"/>
      <c r="R308" s="50"/>
      <c r="S308" s="42"/>
      <c r="T308" s="42"/>
    </row>
    <row r="309" spans="7:20" s="9" customFormat="1">
      <c r="G309" s="16"/>
      <c r="H309" s="16"/>
      <c r="O309" s="46"/>
      <c r="P309" s="42"/>
      <c r="Q309" s="42"/>
      <c r="R309" s="50"/>
      <c r="S309" s="42"/>
      <c r="T309" s="42"/>
    </row>
    <row r="310" spans="7:20" s="9" customFormat="1">
      <c r="G310" s="16"/>
      <c r="H310" s="16"/>
      <c r="O310" s="46"/>
      <c r="P310" s="42"/>
      <c r="Q310" s="42"/>
      <c r="R310" s="50"/>
      <c r="S310" s="42"/>
      <c r="T310" s="42"/>
    </row>
    <row r="311" spans="7:20" s="9" customFormat="1">
      <c r="G311" s="16"/>
      <c r="H311" s="16"/>
      <c r="O311" s="46"/>
      <c r="P311" s="42"/>
      <c r="Q311" s="42"/>
      <c r="R311" s="50"/>
      <c r="S311" s="42"/>
      <c r="T311" s="42"/>
    </row>
    <row r="312" spans="7:20" s="9" customFormat="1">
      <c r="G312" s="16"/>
      <c r="H312" s="16"/>
      <c r="O312" s="46"/>
      <c r="P312" s="42"/>
      <c r="Q312" s="42"/>
      <c r="R312" s="50"/>
      <c r="S312" s="42"/>
      <c r="T312" s="42"/>
    </row>
    <row r="313" spans="7:20" s="9" customFormat="1">
      <c r="G313" s="16"/>
      <c r="H313" s="16"/>
      <c r="O313" s="46"/>
      <c r="P313" s="42"/>
      <c r="Q313" s="42"/>
      <c r="R313" s="50"/>
      <c r="S313" s="42"/>
      <c r="T313" s="42"/>
    </row>
    <row r="314" spans="7:20" s="9" customFormat="1">
      <c r="G314" s="16"/>
      <c r="H314" s="16"/>
      <c r="O314" s="46"/>
      <c r="P314" s="42"/>
      <c r="Q314" s="42"/>
      <c r="R314" s="50"/>
      <c r="S314" s="42"/>
      <c r="T314" s="42"/>
    </row>
    <row r="315" spans="7:20" s="9" customFormat="1">
      <c r="G315" s="16"/>
      <c r="H315" s="16"/>
      <c r="O315" s="46"/>
      <c r="P315" s="42"/>
      <c r="Q315" s="42"/>
      <c r="R315" s="50"/>
      <c r="S315" s="42"/>
      <c r="T315" s="42"/>
    </row>
    <row r="316" spans="7:20" s="9" customFormat="1">
      <c r="G316" s="16"/>
      <c r="H316" s="16"/>
      <c r="O316" s="46"/>
      <c r="P316" s="42"/>
      <c r="Q316" s="42"/>
      <c r="R316" s="50"/>
      <c r="S316" s="42"/>
      <c r="T316" s="42"/>
    </row>
    <row r="317" spans="7:20" s="9" customFormat="1">
      <c r="G317" s="16"/>
      <c r="H317" s="16"/>
      <c r="O317" s="46"/>
      <c r="P317" s="42"/>
      <c r="Q317" s="42"/>
      <c r="R317" s="50"/>
      <c r="S317" s="42"/>
      <c r="T317" s="42"/>
    </row>
    <row r="318" spans="7:20" s="9" customFormat="1">
      <c r="G318" s="16"/>
      <c r="H318" s="16"/>
      <c r="O318" s="46"/>
      <c r="P318" s="42"/>
      <c r="Q318" s="42"/>
      <c r="R318" s="50"/>
      <c r="S318" s="42"/>
      <c r="T318" s="42"/>
    </row>
    <row r="319" spans="7:20" s="9" customFormat="1">
      <c r="G319" s="16"/>
      <c r="H319" s="16"/>
      <c r="O319" s="46"/>
      <c r="P319" s="42"/>
      <c r="Q319" s="42"/>
      <c r="R319" s="50"/>
      <c r="S319" s="42"/>
      <c r="T319" s="42"/>
    </row>
    <row r="320" spans="7:20" s="9" customFormat="1">
      <c r="G320" s="16"/>
      <c r="H320" s="16"/>
    </row>
    <row r="321" spans="7:8" s="9" customFormat="1">
      <c r="G321" s="16"/>
      <c r="H321" s="16"/>
    </row>
    <row r="322" spans="7:8" s="9" customFormat="1">
      <c r="G322" s="16"/>
      <c r="H322" s="16"/>
    </row>
    <row r="323" spans="7:8" s="9" customFormat="1">
      <c r="G323" s="16"/>
      <c r="H323" s="16"/>
    </row>
    <row r="324" spans="7:8" s="9" customFormat="1">
      <c r="G324" s="16"/>
      <c r="H324" s="16"/>
    </row>
    <row r="325" spans="7:8" s="9" customFormat="1">
      <c r="G325" s="16"/>
      <c r="H325" s="16"/>
    </row>
    <row r="326" spans="7:8" s="9" customFormat="1">
      <c r="G326" s="16"/>
      <c r="H326" s="16"/>
    </row>
    <row r="327" spans="7:8" s="9" customFormat="1">
      <c r="G327" s="16"/>
      <c r="H327" s="16"/>
    </row>
    <row r="328" spans="7:8" s="9" customFormat="1">
      <c r="G328" s="16"/>
      <c r="H328" s="16"/>
    </row>
    <row r="329" spans="7:8" s="9" customFormat="1">
      <c r="G329" s="16"/>
      <c r="H329" s="16"/>
    </row>
    <row r="330" spans="7:8" s="9" customFormat="1">
      <c r="G330" s="16"/>
      <c r="H330" s="16"/>
    </row>
    <row r="331" spans="7:8" s="9" customFormat="1">
      <c r="G331" s="16"/>
      <c r="H331" s="16"/>
    </row>
    <row r="332" spans="7:8" s="9" customFormat="1">
      <c r="G332" s="16"/>
      <c r="H332" s="16"/>
    </row>
    <row r="333" spans="7:8" s="9" customFormat="1">
      <c r="G333" s="16"/>
      <c r="H333" s="16"/>
    </row>
    <row r="334" spans="7:8" s="9" customFormat="1">
      <c r="G334" s="16"/>
      <c r="H334" s="16"/>
    </row>
    <row r="335" spans="7:8" s="9" customFormat="1">
      <c r="G335" s="16"/>
      <c r="H335" s="16"/>
    </row>
    <row r="336" spans="7:8" s="9" customFormat="1">
      <c r="G336" s="16"/>
      <c r="H336" s="16"/>
    </row>
    <row r="337" spans="7:8" s="9" customFormat="1">
      <c r="G337" s="16"/>
      <c r="H337" s="16"/>
    </row>
    <row r="338" spans="7:8" s="9" customFormat="1">
      <c r="G338" s="16"/>
      <c r="H338" s="16"/>
    </row>
    <row r="339" spans="7:8" s="9" customFormat="1">
      <c r="G339" s="16"/>
      <c r="H339" s="16"/>
    </row>
    <row r="340" spans="7:8" s="9" customFormat="1">
      <c r="G340" s="16"/>
      <c r="H340" s="16"/>
    </row>
    <row r="341" spans="7:8" s="9" customFormat="1">
      <c r="G341" s="16"/>
      <c r="H341" s="16"/>
    </row>
    <row r="342" spans="7:8" s="9" customFormat="1">
      <c r="G342" s="16"/>
      <c r="H342" s="16"/>
    </row>
    <row r="343" spans="7:8" s="9" customFormat="1">
      <c r="G343" s="16"/>
      <c r="H343" s="16"/>
    </row>
    <row r="344" spans="7:8" s="9" customFormat="1">
      <c r="G344" s="16"/>
      <c r="H344" s="16"/>
    </row>
    <row r="345" spans="7:8" s="9" customFormat="1">
      <c r="G345" s="16"/>
      <c r="H345" s="16"/>
    </row>
    <row r="346" spans="7:8" s="9" customFormat="1">
      <c r="G346" s="16"/>
      <c r="H346" s="16"/>
    </row>
    <row r="347" spans="7:8" s="9" customFormat="1">
      <c r="G347" s="16"/>
      <c r="H347" s="16"/>
    </row>
    <row r="348" spans="7:8" s="9" customFormat="1">
      <c r="G348" s="16"/>
      <c r="H348" s="16"/>
    </row>
    <row r="349" spans="7:8" s="9" customFormat="1">
      <c r="G349" s="16"/>
      <c r="H349" s="16"/>
    </row>
    <row r="350" spans="7:8" s="9" customFormat="1">
      <c r="G350" s="16"/>
      <c r="H350" s="16"/>
    </row>
    <row r="351" spans="7:8" s="9" customFormat="1">
      <c r="G351" s="16"/>
      <c r="H351" s="16"/>
    </row>
    <row r="352" spans="7:8" s="9" customFormat="1">
      <c r="G352" s="16"/>
      <c r="H352" s="16"/>
    </row>
    <row r="353" spans="7:8" s="9" customFormat="1">
      <c r="G353" s="16"/>
      <c r="H353" s="16"/>
    </row>
    <row r="354" spans="7:8" s="9" customFormat="1">
      <c r="G354" s="16"/>
      <c r="H354" s="16"/>
    </row>
    <row r="355" spans="7:8" s="9" customFormat="1">
      <c r="G355" s="16"/>
      <c r="H355" s="16"/>
    </row>
    <row r="356" spans="7:8" s="9" customFormat="1">
      <c r="G356" s="16"/>
      <c r="H356" s="16"/>
    </row>
    <row r="357" spans="7:8" s="9" customFormat="1">
      <c r="G357" s="16"/>
      <c r="H357" s="16"/>
    </row>
    <row r="358" spans="7:8" s="9" customFormat="1">
      <c r="G358" s="16"/>
      <c r="H358" s="16"/>
    </row>
    <row r="359" spans="7:8" s="9" customFormat="1">
      <c r="G359" s="16"/>
      <c r="H359" s="16"/>
    </row>
    <row r="360" spans="7:8" s="9" customFormat="1">
      <c r="G360" s="16"/>
      <c r="H360" s="16"/>
    </row>
    <row r="361" spans="7:8" s="9" customFormat="1">
      <c r="G361" s="16"/>
      <c r="H361" s="16"/>
    </row>
    <row r="362" spans="7:8" s="9" customFormat="1">
      <c r="G362" s="16"/>
      <c r="H362" s="16"/>
    </row>
    <row r="363" spans="7:8" s="9" customFormat="1">
      <c r="G363" s="16"/>
      <c r="H363" s="16"/>
    </row>
    <row r="364" spans="7:8" s="9" customFormat="1">
      <c r="G364" s="16"/>
      <c r="H364" s="16"/>
    </row>
    <row r="365" spans="7:8" s="9" customFormat="1">
      <c r="G365" s="16"/>
      <c r="H365" s="16"/>
    </row>
    <row r="366" spans="7:8" s="9" customFormat="1">
      <c r="G366" s="16"/>
      <c r="H366" s="16"/>
    </row>
    <row r="367" spans="7:8" s="9" customFormat="1">
      <c r="G367" s="16"/>
      <c r="H367" s="16"/>
    </row>
    <row r="368" spans="7:8" s="9" customFormat="1">
      <c r="G368" s="16"/>
      <c r="H368" s="16"/>
    </row>
    <row r="369" spans="7:8" s="9" customFormat="1">
      <c r="G369" s="16"/>
      <c r="H369" s="16"/>
    </row>
    <row r="370" spans="7:8" s="9" customFormat="1">
      <c r="G370" s="16"/>
      <c r="H370" s="16"/>
    </row>
    <row r="371" spans="7:8" s="9" customFormat="1">
      <c r="G371" s="16"/>
      <c r="H371" s="16"/>
    </row>
    <row r="372" spans="7:8" s="9" customFormat="1">
      <c r="G372" s="16"/>
      <c r="H372" s="16"/>
    </row>
    <row r="373" spans="7:8" s="9" customFormat="1">
      <c r="G373" s="16"/>
      <c r="H373" s="16"/>
    </row>
    <row r="374" spans="7:8" s="9" customFormat="1">
      <c r="G374" s="16"/>
      <c r="H374" s="16"/>
    </row>
    <row r="375" spans="7:8" s="9" customFormat="1">
      <c r="G375" s="16"/>
      <c r="H375" s="16"/>
    </row>
    <row r="376" spans="7:8" s="9" customFormat="1">
      <c r="G376" s="16"/>
      <c r="H376" s="16"/>
    </row>
    <row r="377" spans="7:8" s="9" customFormat="1">
      <c r="G377" s="16"/>
      <c r="H377" s="16"/>
    </row>
    <row r="378" spans="7:8" s="9" customFormat="1">
      <c r="G378" s="16"/>
      <c r="H378" s="16"/>
    </row>
    <row r="379" spans="7:8" s="9" customFormat="1">
      <c r="G379" s="16"/>
      <c r="H379" s="16"/>
    </row>
    <row r="380" spans="7:8" s="9" customFormat="1">
      <c r="G380" s="16"/>
      <c r="H380" s="16"/>
    </row>
    <row r="381" spans="7:8" s="9" customFormat="1">
      <c r="G381" s="16"/>
      <c r="H381" s="16"/>
    </row>
    <row r="382" spans="7:8" s="9" customFormat="1">
      <c r="G382" s="16"/>
      <c r="H382" s="16"/>
    </row>
    <row r="383" spans="7:8" s="9" customFormat="1">
      <c r="G383" s="16"/>
      <c r="H383" s="16"/>
    </row>
    <row r="384" spans="7:8" s="9" customFormat="1">
      <c r="G384" s="16"/>
      <c r="H384" s="16"/>
    </row>
    <row r="385" spans="7:8" s="9" customFormat="1">
      <c r="G385" s="16"/>
      <c r="H385" s="16"/>
    </row>
    <row r="386" spans="7:8" s="9" customFormat="1">
      <c r="G386" s="16"/>
      <c r="H386" s="16"/>
    </row>
    <row r="387" spans="7:8" s="9" customFormat="1">
      <c r="G387" s="16"/>
      <c r="H387" s="16"/>
    </row>
    <row r="388" spans="7:8" s="9" customFormat="1">
      <c r="G388" s="16"/>
      <c r="H388" s="16"/>
    </row>
    <row r="389" spans="7:8" s="9" customFormat="1">
      <c r="G389" s="16"/>
      <c r="H389" s="16"/>
    </row>
    <row r="390" spans="7:8" s="9" customFormat="1">
      <c r="G390" s="16"/>
      <c r="H390" s="16"/>
    </row>
    <row r="391" spans="7:8" s="9" customFormat="1">
      <c r="G391" s="16"/>
      <c r="H391" s="16"/>
    </row>
    <row r="392" spans="7:8" s="9" customFormat="1">
      <c r="G392" s="16"/>
      <c r="H392" s="16"/>
    </row>
    <row r="393" spans="7:8" s="9" customFormat="1">
      <c r="G393" s="16"/>
      <c r="H393" s="16"/>
    </row>
    <row r="394" spans="7:8" s="9" customFormat="1">
      <c r="G394" s="16"/>
      <c r="H394" s="16"/>
    </row>
    <row r="395" spans="7:8" s="9" customFormat="1">
      <c r="G395" s="16"/>
      <c r="H395" s="16"/>
    </row>
    <row r="396" spans="7:8" s="9" customFormat="1">
      <c r="G396" s="16"/>
      <c r="H396" s="16"/>
    </row>
    <row r="397" spans="7:8" s="9" customFormat="1">
      <c r="G397" s="16"/>
      <c r="H397" s="16"/>
    </row>
    <row r="398" spans="7:8" s="9" customFormat="1">
      <c r="G398" s="16"/>
      <c r="H398" s="16"/>
    </row>
    <row r="399" spans="7:8" s="9" customFormat="1">
      <c r="G399" s="16"/>
      <c r="H399" s="16"/>
    </row>
    <row r="400" spans="7:8" s="9" customFormat="1">
      <c r="G400" s="16"/>
      <c r="H400" s="16"/>
    </row>
    <row r="401" spans="7:8" s="9" customFormat="1">
      <c r="G401" s="16"/>
      <c r="H401" s="16"/>
    </row>
    <row r="402" spans="7:8" s="9" customFormat="1">
      <c r="G402" s="16"/>
      <c r="H402" s="16"/>
    </row>
    <row r="403" spans="7:8" s="9" customFormat="1">
      <c r="G403" s="16"/>
      <c r="H403" s="16"/>
    </row>
    <row r="404" spans="7:8" s="9" customFormat="1">
      <c r="G404" s="16"/>
      <c r="H404" s="16"/>
    </row>
    <row r="405" spans="7:8" s="9" customFormat="1">
      <c r="G405" s="16"/>
      <c r="H405" s="16"/>
    </row>
    <row r="406" spans="7:8" s="9" customFormat="1">
      <c r="G406" s="16"/>
      <c r="H406" s="16"/>
    </row>
    <row r="407" spans="7:8" s="9" customFormat="1">
      <c r="G407" s="16"/>
      <c r="H407" s="16"/>
    </row>
    <row r="408" spans="7:8" s="9" customFormat="1">
      <c r="G408" s="16"/>
      <c r="H408" s="16"/>
    </row>
    <row r="409" spans="7:8" s="9" customFormat="1">
      <c r="G409" s="16"/>
      <c r="H409" s="16"/>
    </row>
    <row r="410" spans="7:8" s="9" customFormat="1">
      <c r="G410" s="16"/>
      <c r="H410" s="16"/>
    </row>
    <row r="411" spans="7:8" s="9" customFormat="1">
      <c r="G411" s="16"/>
      <c r="H411" s="16"/>
    </row>
    <row r="412" spans="7:8" s="9" customFormat="1">
      <c r="G412" s="16"/>
      <c r="H412" s="16"/>
    </row>
    <row r="413" spans="7:8" s="9" customFormat="1">
      <c r="G413" s="16"/>
      <c r="H413" s="16"/>
    </row>
    <row r="414" spans="7:8" s="9" customFormat="1">
      <c r="G414" s="16"/>
      <c r="H414" s="16"/>
    </row>
    <row r="415" spans="7:8" s="9" customFormat="1">
      <c r="G415" s="16"/>
      <c r="H415" s="16"/>
    </row>
    <row r="416" spans="7:8" s="9" customFormat="1">
      <c r="G416" s="16"/>
      <c r="H416" s="16"/>
    </row>
    <row r="417" spans="7:8" s="9" customFormat="1">
      <c r="G417" s="16"/>
      <c r="H417" s="16"/>
    </row>
    <row r="418" spans="7:8" s="9" customFormat="1">
      <c r="G418" s="16"/>
      <c r="H418" s="16"/>
    </row>
    <row r="419" spans="7:8" s="9" customFormat="1">
      <c r="G419" s="16"/>
      <c r="H419" s="16"/>
    </row>
    <row r="420" spans="7:8" s="9" customFormat="1">
      <c r="G420" s="16"/>
      <c r="H420" s="16"/>
    </row>
    <row r="421" spans="7:8" s="9" customFormat="1">
      <c r="G421" s="16"/>
      <c r="H421" s="16"/>
    </row>
    <row r="422" spans="7:8" s="9" customFormat="1">
      <c r="G422" s="16"/>
      <c r="H422" s="16"/>
    </row>
    <row r="423" spans="7:8" s="9" customFormat="1">
      <c r="G423" s="16"/>
      <c r="H423" s="16"/>
    </row>
    <row r="424" spans="7:8" s="9" customFormat="1">
      <c r="G424" s="16"/>
      <c r="H424" s="16"/>
    </row>
    <row r="425" spans="7:8" s="9" customFormat="1">
      <c r="G425" s="16"/>
      <c r="H425" s="16"/>
    </row>
    <row r="426" spans="7:8" s="9" customFormat="1">
      <c r="G426" s="16"/>
      <c r="H426" s="16"/>
    </row>
    <row r="427" spans="7:8" s="9" customFormat="1">
      <c r="G427" s="16"/>
      <c r="H427" s="16"/>
    </row>
    <row r="428" spans="7:8" s="9" customFormat="1">
      <c r="G428" s="16"/>
      <c r="H428" s="16"/>
    </row>
    <row r="429" spans="7:8" s="9" customFormat="1">
      <c r="G429" s="16"/>
      <c r="H429" s="16"/>
    </row>
    <row r="430" spans="7:8" s="9" customFormat="1">
      <c r="G430" s="16"/>
      <c r="H430" s="16"/>
    </row>
    <row r="431" spans="7:8" s="9" customFormat="1">
      <c r="G431" s="16"/>
      <c r="H431" s="16"/>
    </row>
    <row r="432" spans="7:8" s="9" customFormat="1">
      <c r="G432" s="16"/>
      <c r="H432" s="16"/>
    </row>
    <row r="433" spans="7:8" s="9" customFormat="1">
      <c r="G433" s="16"/>
      <c r="H433" s="16"/>
    </row>
    <row r="434" spans="7:8" s="9" customFormat="1">
      <c r="G434" s="16"/>
      <c r="H434" s="16"/>
    </row>
    <row r="435" spans="7:8" s="9" customFormat="1">
      <c r="G435" s="16"/>
      <c r="H435" s="16"/>
    </row>
    <row r="436" spans="7:8" s="9" customFormat="1">
      <c r="G436" s="16"/>
      <c r="H436" s="16"/>
    </row>
    <row r="437" spans="7:8" s="9" customFormat="1">
      <c r="G437" s="16"/>
      <c r="H437" s="16"/>
    </row>
    <row r="438" spans="7:8" s="9" customFormat="1">
      <c r="G438" s="16"/>
      <c r="H438" s="16"/>
    </row>
    <row r="439" spans="7:8" s="9" customFormat="1">
      <c r="G439" s="16"/>
      <c r="H439" s="16"/>
    </row>
    <row r="440" spans="7:8" s="9" customFormat="1">
      <c r="G440" s="16"/>
      <c r="H440" s="16"/>
    </row>
    <row r="441" spans="7:8" s="9" customFormat="1">
      <c r="G441" s="16"/>
      <c r="H441" s="16"/>
    </row>
    <row r="442" spans="7:8" s="9" customFormat="1">
      <c r="G442" s="16"/>
      <c r="H442" s="16"/>
    </row>
    <row r="443" spans="7:8" s="9" customFormat="1">
      <c r="G443" s="16"/>
      <c r="H443" s="16"/>
    </row>
    <row r="444" spans="7:8" s="9" customFormat="1">
      <c r="G444" s="16"/>
      <c r="H444" s="16"/>
    </row>
    <row r="445" spans="7:8" s="9" customFormat="1">
      <c r="G445" s="16"/>
      <c r="H445" s="16"/>
    </row>
    <row r="446" spans="7:8" s="9" customFormat="1">
      <c r="G446" s="16"/>
      <c r="H446" s="16"/>
    </row>
    <row r="447" spans="7:8" s="9" customFormat="1">
      <c r="G447" s="16"/>
      <c r="H447" s="16"/>
    </row>
    <row r="448" spans="7:8" s="9" customFormat="1">
      <c r="G448" s="16"/>
      <c r="H448" s="16"/>
    </row>
    <row r="449" spans="7:8" s="9" customFormat="1">
      <c r="G449" s="16"/>
      <c r="H449" s="16"/>
    </row>
    <row r="450" spans="7:8" s="9" customFormat="1">
      <c r="G450" s="16"/>
      <c r="H450" s="16"/>
    </row>
    <row r="451" spans="7:8" s="9" customFormat="1">
      <c r="G451" s="16"/>
      <c r="H451" s="16"/>
    </row>
    <row r="452" spans="7:8" s="9" customFormat="1">
      <c r="G452" s="16"/>
      <c r="H452" s="16"/>
    </row>
    <row r="453" spans="7:8" s="9" customFormat="1">
      <c r="G453" s="16"/>
      <c r="H453" s="16"/>
    </row>
    <row r="454" spans="7:8" s="9" customFormat="1">
      <c r="G454" s="16"/>
      <c r="H454" s="16"/>
    </row>
    <row r="455" spans="7:8" s="9" customFormat="1">
      <c r="G455" s="16"/>
      <c r="H455" s="16"/>
    </row>
    <row r="456" spans="7:8" s="9" customFormat="1">
      <c r="G456" s="16"/>
      <c r="H456" s="16"/>
    </row>
    <row r="457" spans="7:8" s="9" customFormat="1">
      <c r="G457" s="16"/>
      <c r="H457" s="16"/>
    </row>
    <row r="458" spans="7:8" s="9" customFormat="1">
      <c r="G458" s="16"/>
      <c r="H458" s="16"/>
    </row>
    <row r="459" spans="7:8" s="9" customFormat="1">
      <c r="G459" s="16"/>
      <c r="H459" s="16"/>
    </row>
    <row r="460" spans="7:8" s="9" customFormat="1">
      <c r="G460" s="16"/>
      <c r="H460" s="16"/>
    </row>
    <row r="461" spans="7:8" s="9" customFormat="1">
      <c r="G461" s="16"/>
      <c r="H461" s="16"/>
    </row>
    <row r="462" spans="7:8" s="9" customFormat="1">
      <c r="G462" s="16"/>
      <c r="H462" s="16"/>
    </row>
    <row r="463" spans="7:8" s="9" customFormat="1">
      <c r="G463" s="16"/>
      <c r="H463" s="16"/>
    </row>
    <row r="464" spans="7:8" s="9" customFormat="1">
      <c r="G464" s="16"/>
      <c r="H464" s="16"/>
    </row>
    <row r="465" spans="7:8" s="9" customFormat="1">
      <c r="G465" s="16"/>
      <c r="H465" s="16"/>
    </row>
    <row r="466" spans="7:8" s="9" customFormat="1">
      <c r="G466" s="16"/>
      <c r="H466" s="16"/>
    </row>
    <row r="467" spans="7:8" s="9" customFormat="1">
      <c r="G467" s="16"/>
      <c r="H467" s="16"/>
    </row>
    <row r="468" spans="7:8" s="9" customFormat="1">
      <c r="G468" s="16"/>
      <c r="H468" s="16"/>
    </row>
    <row r="469" spans="7:8" s="9" customFormat="1">
      <c r="G469" s="16"/>
      <c r="H469" s="16"/>
    </row>
    <row r="470" spans="7:8" s="9" customFormat="1">
      <c r="G470" s="16"/>
      <c r="H470" s="16"/>
    </row>
    <row r="471" spans="7:8" s="9" customFormat="1">
      <c r="G471" s="16"/>
      <c r="H471" s="16"/>
    </row>
    <row r="472" spans="7:8" s="9" customFormat="1">
      <c r="G472" s="16"/>
      <c r="H472" s="16"/>
    </row>
    <row r="473" spans="7:8" s="9" customFormat="1">
      <c r="G473" s="16"/>
      <c r="H473" s="16"/>
    </row>
    <row r="474" spans="7:8" s="9" customFormat="1">
      <c r="G474" s="16"/>
      <c r="H474" s="16"/>
    </row>
    <row r="475" spans="7:8" s="9" customFormat="1">
      <c r="G475" s="16"/>
      <c r="H475" s="16"/>
    </row>
    <row r="476" spans="7:8" s="9" customFormat="1">
      <c r="G476" s="16"/>
      <c r="H476" s="16"/>
    </row>
    <row r="477" spans="7:8" s="9" customFormat="1">
      <c r="G477" s="16"/>
      <c r="H477" s="16"/>
    </row>
    <row r="478" spans="7:8" s="9" customFormat="1">
      <c r="G478" s="16"/>
      <c r="H478" s="16"/>
    </row>
    <row r="479" spans="7:8" s="9" customFormat="1">
      <c r="G479" s="16"/>
      <c r="H479" s="16"/>
    </row>
    <row r="480" spans="7:8" s="9" customFormat="1">
      <c r="G480" s="16"/>
      <c r="H480" s="16"/>
    </row>
    <row r="481" spans="7:8" s="9" customFormat="1">
      <c r="G481" s="16"/>
      <c r="H481" s="16"/>
    </row>
    <row r="482" spans="7:8" s="9" customFormat="1">
      <c r="G482" s="16"/>
      <c r="H482" s="16"/>
    </row>
    <row r="483" spans="7:8" s="9" customFormat="1">
      <c r="G483" s="16"/>
      <c r="H483" s="16"/>
    </row>
    <row r="484" spans="7:8" s="9" customFormat="1">
      <c r="G484" s="16"/>
      <c r="H484" s="16"/>
    </row>
    <row r="485" spans="7:8" s="9" customFormat="1">
      <c r="G485" s="16"/>
      <c r="H485" s="16"/>
    </row>
    <row r="486" spans="7:8" s="9" customFormat="1">
      <c r="G486" s="16"/>
      <c r="H486" s="16"/>
    </row>
    <row r="487" spans="7:8" s="9" customFormat="1">
      <c r="G487" s="16"/>
      <c r="H487" s="16"/>
    </row>
    <row r="488" spans="7:8" s="9" customFormat="1">
      <c r="G488" s="16"/>
      <c r="H488" s="16"/>
    </row>
    <row r="489" spans="7:8" s="9" customFormat="1">
      <c r="G489" s="16"/>
      <c r="H489" s="16"/>
    </row>
    <row r="490" spans="7:8" s="9" customFormat="1">
      <c r="G490" s="16"/>
      <c r="H490" s="16"/>
    </row>
    <row r="491" spans="7:8" s="9" customFormat="1">
      <c r="G491" s="16"/>
      <c r="H491" s="16"/>
    </row>
    <row r="492" spans="7:8" s="9" customFormat="1">
      <c r="G492" s="16"/>
      <c r="H492" s="16"/>
    </row>
    <row r="493" spans="7:8" s="9" customFormat="1">
      <c r="G493" s="16"/>
      <c r="H493" s="16"/>
    </row>
    <row r="494" spans="7:8" s="9" customFormat="1">
      <c r="G494" s="16"/>
      <c r="H494" s="16"/>
    </row>
    <row r="495" spans="7:8" s="9" customFormat="1">
      <c r="G495" s="16"/>
      <c r="H495" s="16"/>
    </row>
    <row r="496" spans="7:8" s="9" customFormat="1">
      <c r="G496" s="16"/>
      <c r="H496" s="16"/>
    </row>
    <row r="497" spans="7:8" s="9" customFormat="1">
      <c r="G497" s="16"/>
      <c r="H497" s="16"/>
    </row>
    <row r="498" spans="7:8" s="9" customFormat="1">
      <c r="G498" s="16"/>
      <c r="H498" s="16"/>
    </row>
    <row r="499" spans="7:8" s="9" customFormat="1">
      <c r="G499" s="16"/>
      <c r="H499" s="16"/>
    </row>
    <row r="500" spans="7:8" s="9" customFormat="1">
      <c r="G500" s="16"/>
      <c r="H500" s="16"/>
    </row>
    <row r="501" spans="7:8" s="9" customFormat="1">
      <c r="G501" s="16"/>
      <c r="H501" s="16"/>
    </row>
    <row r="502" spans="7:8" s="9" customFormat="1">
      <c r="G502" s="16"/>
      <c r="H502" s="16"/>
    </row>
    <row r="503" spans="7:8" s="9" customFormat="1">
      <c r="G503" s="16"/>
      <c r="H503" s="16"/>
    </row>
    <row r="504" spans="7:8" s="9" customFormat="1">
      <c r="G504" s="16"/>
      <c r="H504" s="16"/>
    </row>
    <row r="505" spans="7:8" s="9" customFormat="1">
      <c r="G505" s="16"/>
      <c r="H505" s="16"/>
    </row>
    <row r="506" spans="7:8" s="9" customFormat="1">
      <c r="G506" s="16"/>
      <c r="H506" s="16"/>
    </row>
    <row r="507" spans="7:8" s="9" customFormat="1">
      <c r="G507" s="16"/>
      <c r="H507" s="16"/>
    </row>
    <row r="508" spans="7:8" s="9" customFormat="1">
      <c r="G508" s="16"/>
      <c r="H508" s="16"/>
    </row>
    <row r="509" spans="7:8" s="9" customFormat="1">
      <c r="G509" s="16"/>
      <c r="H509" s="16"/>
    </row>
    <row r="510" spans="7:8" s="9" customFormat="1">
      <c r="G510" s="16"/>
      <c r="H510" s="16"/>
    </row>
    <row r="511" spans="7:8" s="9" customFormat="1">
      <c r="G511" s="16"/>
      <c r="H511" s="16"/>
    </row>
    <row r="512" spans="7:8" s="9" customFormat="1">
      <c r="G512" s="16"/>
      <c r="H512" s="16"/>
    </row>
    <row r="513" spans="7:8" s="9" customFormat="1">
      <c r="G513" s="16"/>
      <c r="H513" s="16"/>
    </row>
    <row r="514" spans="7:8" s="9" customFormat="1">
      <c r="G514" s="16"/>
      <c r="H514" s="16"/>
    </row>
    <row r="515" spans="7:8" s="9" customFormat="1">
      <c r="G515" s="16"/>
      <c r="H515" s="16"/>
    </row>
    <row r="516" spans="7:8" s="9" customFormat="1">
      <c r="G516" s="16"/>
      <c r="H516" s="16"/>
    </row>
    <row r="517" spans="7:8" s="9" customFormat="1">
      <c r="G517" s="16"/>
      <c r="H517" s="16"/>
    </row>
    <row r="518" spans="7:8" s="9" customFormat="1">
      <c r="G518" s="16"/>
      <c r="H518" s="16"/>
    </row>
    <row r="519" spans="7:8" s="9" customFormat="1">
      <c r="G519" s="16"/>
      <c r="H519" s="16"/>
    </row>
    <row r="520" spans="7:8" s="9" customFormat="1">
      <c r="G520" s="16"/>
      <c r="H520" s="16"/>
    </row>
    <row r="521" spans="7:8" s="9" customFormat="1">
      <c r="G521" s="16"/>
      <c r="H521" s="16"/>
    </row>
    <row r="522" spans="7:8" s="9" customFormat="1">
      <c r="G522" s="16"/>
      <c r="H522" s="16"/>
    </row>
    <row r="523" spans="7:8" s="9" customFormat="1">
      <c r="G523" s="16"/>
      <c r="H523" s="16"/>
    </row>
    <row r="524" spans="7:8" s="9" customFormat="1">
      <c r="G524" s="16"/>
      <c r="H524" s="16"/>
    </row>
    <row r="525" spans="7:8" s="9" customFormat="1">
      <c r="G525" s="16"/>
      <c r="H525" s="16"/>
    </row>
    <row r="526" spans="7:8" s="9" customFormat="1">
      <c r="G526" s="16"/>
      <c r="H526" s="16"/>
    </row>
    <row r="527" spans="7:8" s="9" customFormat="1">
      <c r="G527" s="16"/>
      <c r="H527" s="16"/>
    </row>
    <row r="528" spans="7:8" s="9" customFormat="1">
      <c r="G528" s="16"/>
      <c r="H528" s="16"/>
    </row>
    <row r="529" spans="7:8" s="9" customFormat="1">
      <c r="G529" s="16"/>
      <c r="H529" s="16"/>
    </row>
    <row r="530" spans="7:8" s="9" customFormat="1">
      <c r="G530" s="16"/>
      <c r="H530" s="16"/>
    </row>
    <row r="531" spans="7:8" s="9" customFormat="1">
      <c r="G531" s="16"/>
      <c r="H531" s="16"/>
    </row>
    <row r="532" spans="7:8" s="9" customFormat="1">
      <c r="G532" s="16"/>
      <c r="H532" s="16"/>
    </row>
    <row r="533" spans="7:8" s="9" customFormat="1">
      <c r="G533" s="16"/>
      <c r="H533" s="16"/>
    </row>
    <row r="534" spans="7:8" s="9" customFormat="1">
      <c r="G534" s="16"/>
      <c r="H534" s="16"/>
    </row>
    <row r="535" spans="7:8" s="9" customFormat="1">
      <c r="G535" s="16"/>
      <c r="H535" s="16"/>
    </row>
    <row r="536" spans="7:8" s="9" customFormat="1">
      <c r="G536" s="16"/>
      <c r="H536" s="16"/>
    </row>
    <row r="537" spans="7:8" s="9" customFormat="1">
      <c r="G537" s="16"/>
      <c r="H537" s="16"/>
    </row>
    <row r="538" spans="7:8" s="9" customFormat="1">
      <c r="G538" s="16"/>
      <c r="H538" s="16"/>
    </row>
    <row r="539" spans="7:8" s="9" customFormat="1">
      <c r="G539" s="16"/>
      <c r="H539" s="16"/>
    </row>
    <row r="540" spans="7:8" s="9" customFormat="1">
      <c r="G540" s="16"/>
      <c r="H540" s="16"/>
    </row>
    <row r="541" spans="7:8" s="9" customFormat="1">
      <c r="G541" s="16"/>
      <c r="H541" s="16"/>
    </row>
    <row r="542" spans="7:8" s="9" customFormat="1">
      <c r="G542" s="16"/>
      <c r="H542" s="16"/>
    </row>
    <row r="543" spans="7:8" s="9" customFormat="1">
      <c r="G543" s="16"/>
      <c r="H543" s="16"/>
    </row>
    <row r="544" spans="7:8" s="9" customFormat="1">
      <c r="G544" s="16"/>
      <c r="H544" s="16"/>
    </row>
    <row r="545" spans="7:8" s="9" customFormat="1">
      <c r="G545" s="16"/>
      <c r="H545" s="16"/>
    </row>
    <row r="546" spans="7:8" s="9" customFormat="1">
      <c r="G546" s="16"/>
      <c r="H546" s="16"/>
    </row>
    <row r="547" spans="7:8" s="9" customFormat="1">
      <c r="G547" s="16"/>
      <c r="H547" s="16"/>
    </row>
    <row r="548" spans="7:8" s="9" customFormat="1">
      <c r="G548" s="16"/>
      <c r="H548" s="16"/>
    </row>
    <row r="549" spans="7:8" s="9" customFormat="1">
      <c r="G549" s="16"/>
      <c r="H549" s="16"/>
    </row>
    <row r="550" spans="7:8" s="9" customFormat="1">
      <c r="G550" s="16"/>
      <c r="H550" s="16"/>
    </row>
    <row r="551" spans="7:8" s="9" customFormat="1">
      <c r="G551" s="16"/>
      <c r="H551" s="16"/>
    </row>
    <row r="552" spans="7:8" s="9" customFormat="1">
      <c r="G552" s="16"/>
      <c r="H552" s="16"/>
    </row>
    <row r="553" spans="7:8" s="9" customFormat="1">
      <c r="G553" s="16"/>
      <c r="H553" s="16"/>
    </row>
    <row r="554" spans="7:8" s="9" customFormat="1">
      <c r="G554" s="16"/>
      <c r="H554" s="16"/>
    </row>
    <row r="555" spans="7:8" s="9" customFormat="1">
      <c r="G555" s="16"/>
      <c r="H555" s="16"/>
    </row>
    <row r="556" spans="7:8" s="9" customFormat="1">
      <c r="G556" s="16"/>
      <c r="H556" s="16"/>
    </row>
    <row r="557" spans="7:8" s="9" customFormat="1">
      <c r="G557" s="16"/>
      <c r="H557" s="16"/>
    </row>
    <row r="558" spans="7:8" s="9" customFormat="1">
      <c r="G558" s="16"/>
      <c r="H558" s="16"/>
    </row>
    <row r="559" spans="7:8" s="9" customFormat="1">
      <c r="G559" s="16"/>
      <c r="H559" s="16"/>
    </row>
    <row r="560" spans="7:8" s="9" customFormat="1">
      <c r="G560" s="16"/>
      <c r="H560" s="16"/>
    </row>
    <row r="561" spans="7:8" s="9" customFormat="1">
      <c r="G561" s="16"/>
      <c r="H561" s="16"/>
    </row>
    <row r="562" spans="7:8" s="9" customFormat="1">
      <c r="G562" s="16"/>
      <c r="H562" s="16"/>
    </row>
    <row r="563" spans="7:8" s="9" customFormat="1">
      <c r="G563" s="16"/>
      <c r="H563" s="16"/>
    </row>
    <row r="564" spans="7:8" s="9" customFormat="1">
      <c r="G564" s="16"/>
      <c r="H564" s="16"/>
    </row>
    <row r="565" spans="7:8" s="9" customFormat="1">
      <c r="G565" s="16"/>
      <c r="H565" s="16"/>
    </row>
    <row r="566" spans="7:8" s="9" customFormat="1">
      <c r="G566" s="16"/>
      <c r="H566" s="16"/>
    </row>
    <row r="567" spans="7:8" s="9" customFormat="1">
      <c r="G567" s="16"/>
      <c r="H567" s="16"/>
    </row>
    <row r="568" spans="7:8" s="9" customFormat="1">
      <c r="G568" s="16"/>
      <c r="H568" s="16"/>
    </row>
    <row r="569" spans="7:8" s="9" customFormat="1">
      <c r="G569" s="16"/>
      <c r="H569" s="16"/>
    </row>
    <row r="570" spans="7:8" s="9" customFormat="1">
      <c r="G570" s="16"/>
      <c r="H570" s="16"/>
    </row>
    <row r="571" spans="7:8" s="9" customFormat="1">
      <c r="G571" s="16"/>
      <c r="H571" s="16"/>
    </row>
    <row r="572" spans="7:8" s="9" customFormat="1">
      <c r="G572" s="16"/>
      <c r="H572" s="16"/>
    </row>
    <row r="573" spans="7:8" s="9" customFormat="1">
      <c r="G573" s="16"/>
      <c r="H573" s="16"/>
    </row>
    <row r="574" spans="7:8" s="9" customFormat="1">
      <c r="G574" s="16"/>
      <c r="H574" s="16"/>
    </row>
    <row r="575" spans="7:8" s="9" customFormat="1">
      <c r="G575" s="16"/>
      <c r="H575" s="16"/>
    </row>
    <row r="576" spans="7:8" s="9" customFormat="1">
      <c r="G576" s="16"/>
      <c r="H576" s="16"/>
    </row>
    <row r="577" spans="7:8" s="9" customFormat="1">
      <c r="G577" s="16"/>
      <c r="H577" s="16"/>
    </row>
    <row r="578" spans="7:8" s="9" customFormat="1">
      <c r="G578" s="16"/>
      <c r="H578" s="16"/>
    </row>
    <row r="579" spans="7:8" s="9" customFormat="1">
      <c r="G579" s="16"/>
      <c r="H579" s="16"/>
    </row>
    <row r="580" spans="7:8" s="9" customFormat="1">
      <c r="G580" s="16"/>
      <c r="H580" s="16"/>
    </row>
    <row r="581" spans="7:8" s="9" customFormat="1">
      <c r="G581" s="16"/>
      <c r="H581" s="16"/>
    </row>
    <row r="582" spans="7:8" s="9" customFormat="1">
      <c r="G582" s="16"/>
      <c r="H582" s="16"/>
    </row>
    <row r="583" spans="7:8" s="9" customFormat="1">
      <c r="G583" s="16"/>
      <c r="H583" s="16"/>
    </row>
    <row r="584" spans="7:8" s="9" customFormat="1">
      <c r="G584" s="16"/>
      <c r="H584" s="16"/>
    </row>
    <row r="585" spans="7:8" s="9" customFormat="1">
      <c r="G585" s="16"/>
      <c r="H585" s="16"/>
    </row>
    <row r="586" spans="7:8" s="9" customFormat="1">
      <c r="G586" s="16"/>
      <c r="H586" s="16"/>
    </row>
    <row r="587" spans="7:8" s="9" customFormat="1">
      <c r="G587" s="16"/>
      <c r="H587" s="16"/>
    </row>
    <row r="588" spans="7:8" s="9" customFormat="1">
      <c r="G588" s="16"/>
      <c r="H588" s="16"/>
    </row>
    <row r="589" spans="7:8" s="9" customFormat="1">
      <c r="G589" s="16"/>
      <c r="H589" s="16"/>
    </row>
    <row r="590" spans="7:8" s="9" customFormat="1">
      <c r="G590" s="16"/>
      <c r="H590" s="16"/>
    </row>
    <row r="591" spans="7:8" s="9" customFormat="1">
      <c r="G591" s="16"/>
      <c r="H591" s="16"/>
    </row>
    <row r="592" spans="7:8" s="9" customFormat="1">
      <c r="G592" s="16"/>
      <c r="H592" s="16"/>
    </row>
    <row r="593" spans="7:8" s="9" customFormat="1">
      <c r="G593" s="16"/>
      <c r="H593" s="16"/>
    </row>
    <row r="594" spans="7:8" s="9" customFormat="1">
      <c r="G594" s="16"/>
      <c r="H594" s="16"/>
    </row>
    <row r="595" spans="7:8" s="9" customFormat="1">
      <c r="G595" s="16"/>
      <c r="H595" s="16"/>
    </row>
    <row r="596" spans="7:8" s="9" customFormat="1">
      <c r="G596" s="16"/>
      <c r="H596" s="16"/>
    </row>
    <row r="597" spans="7:8" s="9" customFormat="1">
      <c r="G597" s="16"/>
      <c r="H597" s="16"/>
    </row>
    <row r="598" spans="7:8" s="9" customFormat="1">
      <c r="G598" s="16"/>
      <c r="H598" s="16"/>
    </row>
    <row r="599" spans="7:8" s="9" customFormat="1">
      <c r="G599" s="16"/>
      <c r="H599" s="16"/>
    </row>
    <row r="600" spans="7:8" s="9" customFormat="1">
      <c r="G600" s="16"/>
      <c r="H600" s="16"/>
    </row>
    <row r="601" spans="7:8" s="9" customFormat="1">
      <c r="G601" s="16"/>
      <c r="H601" s="16"/>
    </row>
    <row r="602" spans="7:8" s="9" customFormat="1">
      <c r="G602" s="16"/>
      <c r="H602" s="16"/>
    </row>
    <row r="603" spans="7:8" s="9" customFormat="1">
      <c r="G603" s="16"/>
      <c r="H603" s="16"/>
    </row>
    <row r="604" spans="7:8" s="9" customFormat="1">
      <c r="G604" s="16"/>
      <c r="H604" s="16"/>
    </row>
    <row r="605" spans="7:8" s="9" customFormat="1">
      <c r="G605" s="16"/>
      <c r="H605" s="16"/>
    </row>
    <row r="606" spans="7:8" s="9" customFormat="1">
      <c r="G606" s="16"/>
      <c r="H606" s="16"/>
    </row>
    <row r="607" spans="7:8" s="9" customFormat="1">
      <c r="G607" s="16"/>
      <c r="H607" s="16"/>
    </row>
    <row r="608" spans="7:8" s="9" customFormat="1">
      <c r="G608" s="16"/>
      <c r="H608" s="16"/>
    </row>
    <row r="609" spans="7:8" s="9" customFormat="1">
      <c r="G609" s="16"/>
      <c r="H609" s="16"/>
    </row>
    <row r="610" spans="7:8" s="9" customFormat="1">
      <c r="G610" s="16"/>
      <c r="H610" s="16"/>
    </row>
    <row r="611" spans="7:8" s="9" customFormat="1">
      <c r="G611" s="16"/>
      <c r="H611" s="16"/>
    </row>
    <row r="612" spans="7:8" s="9" customFormat="1">
      <c r="G612" s="16"/>
      <c r="H612" s="16"/>
    </row>
    <row r="613" spans="7:8" s="9" customFormat="1">
      <c r="G613" s="16"/>
      <c r="H613" s="16"/>
    </row>
    <row r="614" spans="7:8" s="9" customFormat="1">
      <c r="G614" s="16"/>
      <c r="H614" s="16"/>
    </row>
    <row r="615" spans="7:8" s="9" customFormat="1">
      <c r="G615" s="16"/>
      <c r="H615" s="16"/>
    </row>
    <row r="616" spans="7:8" s="9" customFormat="1">
      <c r="G616" s="16"/>
      <c r="H616" s="16"/>
    </row>
    <row r="617" spans="7:8" s="9" customFormat="1">
      <c r="G617" s="16"/>
      <c r="H617" s="16"/>
    </row>
    <row r="618" spans="7:8" s="9" customFormat="1">
      <c r="G618" s="16"/>
      <c r="H618" s="16"/>
    </row>
    <row r="619" spans="7:8" s="9" customFormat="1">
      <c r="G619" s="16"/>
      <c r="H619" s="16"/>
    </row>
    <row r="620" spans="7:8" s="9" customFormat="1">
      <c r="G620" s="16"/>
      <c r="H620" s="16"/>
    </row>
    <row r="621" spans="7:8" s="9" customFormat="1">
      <c r="G621" s="16"/>
      <c r="H621" s="16"/>
    </row>
    <row r="622" spans="7:8" s="9" customFormat="1">
      <c r="G622" s="16"/>
      <c r="H622" s="16"/>
    </row>
    <row r="623" spans="7:8" s="9" customFormat="1">
      <c r="G623" s="16"/>
      <c r="H623" s="16"/>
    </row>
    <row r="624" spans="7:8" s="9" customFormat="1">
      <c r="G624" s="16"/>
      <c r="H624" s="16"/>
    </row>
    <row r="625" spans="7:8" s="9" customFormat="1">
      <c r="G625" s="16"/>
      <c r="H625" s="16"/>
    </row>
    <row r="626" spans="7:8" s="9" customFormat="1">
      <c r="G626" s="16"/>
      <c r="H626" s="16"/>
    </row>
    <row r="627" spans="7:8" s="9" customFormat="1">
      <c r="G627" s="16"/>
      <c r="H627" s="16"/>
    </row>
    <row r="628" spans="7:8" s="9" customFormat="1">
      <c r="G628" s="16"/>
      <c r="H628" s="16"/>
    </row>
    <row r="629" spans="7:8" s="9" customFormat="1">
      <c r="G629" s="16"/>
      <c r="H629" s="16"/>
    </row>
    <row r="630" spans="7:8" s="9" customFormat="1">
      <c r="G630" s="16"/>
      <c r="H630" s="16"/>
    </row>
    <row r="631" spans="7:8" s="9" customFormat="1">
      <c r="G631" s="16"/>
      <c r="H631" s="16"/>
    </row>
    <row r="632" spans="7:8" s="9" customFormat="1">
      <c r="G632" s="16"/>
      <c r="H632" s="16"/>
    </row>
    <row r="633" spans="7:8" s="9" customFormat="1">
      <c r="G633" s="16"/>
      <c r="H633" s="16"/>
    </row>
    <row r="634" spans="7:8" s="9" customFormat="1">
      <c r="G634" s="16"/>
      <c r="H634" s="16"/>
    </row>
    <row r="635" spans="7:8" s="9" customFormat="1">
      <c r="G635" s="16"/>
      <c r="H635" s="16"/>
    </row>
    <row r="636" spans="7:8" s="9" customFormat="1">
      <c r="G636" s="16"/>
      <c r="H636" s="16"/>
    </row>
    <row r="637" spans="7:8" s="9" customFormat="1">
      <c r="G637" s="16"/>
      <c r="H637" s="16"/>
    </row>
    <row r="638" spans="7:8" s="9" customFormat="1">
      <c r="G638" s="16"/>
      <c r="H638" s="16"/>
    </row>
    <row r="639" spans="7:8" s="9" customFormat="1">
      <c r="G639" s="16"/>
      <c r="H639" s="16"/>
    </row>
    <row r="640" spans="7:8" s="9" customFormat="1">
      <c r="G640" s="16"/>
      <c r="H640" s="16"/>
    </row>
    <row r="641" spans="7:8" s="9" customFormat="1">
      <c r="G641" s="16"/>
      <c r="H641" s="16"/>
    </row>
    <row r="642" spans="7:8" s="9" customFormat="1">
      <c r="G642" s="16"/>
      <c r="H642" s="16"/>
    </row>
    <row r="643" spans="7:8" s="9" customFormat="1">
      <c r="G643" s="16"/>
      <c r="H643" s="16"/>
    </row>
    <row r="644" spans="7:8" s="9" customFormat="1">
      <c r="G644" s="16"/>
      <c r="H644" s="16"/>
    </row>
    <row r="645" spans="7:8" s="9" customFormat="1">
      <c r="G645" s="16"/>
      <c r="H645" s="16"/>
    </row>
    <row r="646" spans="7:8" s="9" customFormat="1">
      <c r="G646" s="16"/>
      <c r="H646" s="16"/>
    </row>
    <row r="647" spans="7:8" s="9" customFormat="1">
      <c r="G647" s="16"/>
      <c r="H647" s="16"/>
    </row>
    <row r="648" spans="7:8" s="9" customFormat="1">
      <c r="G648" s="16"/>
      <c r="H648" s="16"/>
    </row>
    <row r="649" spans="7:8" s="9" customFormat="1">
      <c r="G649" s="16"/>
      <c r="H649" s="16"/>
    </row>
    <row r="650" spans="7:8" s="9" customFormat="1">
      <c r="G650" s="16"/>
      <c r="H650" s="16"/>
    </row>
    <row r="651" spans="7:8" s="9" customFormat="1">
      <c r="G651" s="16"/>
      <c r="H651" s="16"/>
    </row>
    <row r="652" spans="7:8" s="9" customFormat="1">
      <c r="G652" s="16"/>
      <c r="H652" s="16"/>
    </row>
    <row r="653" spans="7:8" s="9" customFormat="1">
      <c r="G653" s="16"/>
      <c r="H653" s="16"/>
    </row>
    <row r="654" spans="7:8" s="9" customFormat="1">
      <c r="G654" s="16"/>
      <c r="H654" s="16"/>
    </row>
    <row r="655" spans="7:8" s="9" customFormat="1">
      <c r="G655" s="16"/>
      <c r="H655" s="16"/>
    </row>
    <row r="656" spans="7:8" s="9" customFormat="1">
      <c r="G656" s="16"/>
      <c r="H656" s="16"/>
    </row>
    <row r="657" spans="7:8" s="9" customFormat="1">
      <c r="G657" s="16"/>
      <c r="H657" s="16"/>
    </row>
    <row r="658" spans="7:8" s="9" customFormat="1">
      <c r="G658" s="16"/>
      <c r="H658" s="16"/>
    </row>
    <row r="659" spans="7:8" s="9" customFormat="1">
      <c r="G659" s="16"/>
      <c r="H659" s="16"/>
    </row>
    <row r="660" spans="7:8" s="9" customFormat="1">
      <c r="G660" s="16"/>
      <c r="H660" s="16"/>
    </row>
    <row r="661" spans="7:8" s="9" customFormat="1">
      <c r="G661" s="16"/>
      <c r="H661" s="16"/>
    </row>
    <row r="662" spans="7:8" s="9" customFormat="1">
      <c r="G662" s="16"/>
      <c r="H662" s="16"/>
    </row>
    <row r="663" spans="7:8" s="9" customFormat="1">
      <c r="G663" s="16"/>
      <c r="H663" s="16"/>
    </row>
    <row r="664" spans="7:8" s="9" customFormat="1">
      <c r="G664" s="16"/>
      <c r="H664" s="16"/>
    </row>
    <row r="665" spans="7:8" s="9" customFormat="1">
      <c r="G665" s="16"/>
      <c r="H665" s="16"/>
    </row>
    <row r="666" spans="7:8" s="9" customFormat="1">
      <c r="G666" s="16"/>
      <c r="H666" s="16"/>
    </row>
    <row r="667" spans="7:8" s="9" customFormat="1">
      <c r="G667" s="16"/>
      <c r="H667" s="16"/>
    </row>
    <row r="668" spans="7:8" s="9" customFormat="1">
      <c r="G668" s="16"/>
      <c r="H668" s="16"/>
    </row>
    <row r="669" spans="7:8" s="9" customFormat="1">
      <c r="G669" s="16"/>
      <c r="H669" s="16"/>
    </row>
    <row r="670" spans="7:8" s="9" customFormat="1">
      <c r="G670" s="16"/>
      <c r="H670" s="16"/>
    </row>
    <row r="671" spans="7:8" s="9" customFormat="1">
      <c r="G671" s="16"/>
      <c r="H671" s="16"/>
    </row>
    <row r="672" spans="7:8" s="9" customFormat="1">
      <c r="G672" s="16"/>
      <c r="H672" s="16"/>
    </row>
    <row r="673" spans="7:8" s="9" customFormat="1">
      <c r="G673" s="16"/>
      <c r="H673" s="16"/>
    </row>
    <row r="674" spans="7:8" s="9" customFormat="1">
      <c r="G674" s="16"/>
      <c r="H674" s="16"/>
    </row>
    <row r="675" spans="7:8" s="9" customFormat="1">
      <c r="G675" s="16"/>
      <c r="H675" s="16"/>
    </row>
    <row r="676" spans="7:8" s="9" customFormat="1">
      <c r="G676" s="16"/>
      <c r="H676" s="16"/>
    </row>
    <row r="677" spans="7:8" s="9" customFormat="1">
      <c r="G677" s="16"/>
      <c r="H677" s="16"/>
    </row>
    <row r="678" spans="7:8" s="9" customFormat="1">
      <c r="G678" s="16"/>
      <c r="H678" s="16"/>
    </row>
    <row r="679" spans="7:8" s="9" customFormat="1">
      <c r="G679" s="16"/>
      <c r="H679" s="16"/>
    </row>
    <row r="680" spans="7:8" s="9" customFormat="1">
      <c r="G680" s="16"/>
      <c r="H680" s="16"/>
    </row>
    <row r="681" spans="7:8" s="9" customFormat="1">
      <c r="G681" s="16"/>
      <c r="H681" s="16"/>
    </row>
    <row r="682" spans="7:8" s="9" customFormat="1">
      <c r="G682" s="16"/>
      <c r="H682" s="16"/>
    </row>
    <row r="683" spans="7:8" s="9" customFormat="1">
      <c r="G683" s="16"/>
      <c r="H683" s="16"/>
    </row>
    <row r="684" spans="7:8" s="9" customFormat="1">
      <c r="G684" s="16"/>
      <c r="H684" s="16"/>
    </row>
    <row r="685" spans="7:8" s="9" customFormat="1">
      <c r="G685" s="16"/>
      <c r="H685" s="16"/>
    </row>
    <row r="686" spans="7:8" s="9" customFormat="1">
      <c r="G686" s="16"/>
      <c r="H686" s="16"/>
    </row>
    <row r="687" spans="7:8" s="9" customFormat="1">
      <c r="G687" s="16"/>
      <c r="H687" s="16"/>
    </row>
    <row r="688" spans="7:8" s="9" customFormat="1">
      <c r="G688" s="16"/>
      <c r="H688" s="16"/>
    </row>
    <row r="689" spans="7:8" s="9" customFormat="1">
      <c r="G689" s="16"/>
      <c r="H689" s="16"/>
    </row>
    <row r="690" spans="7:8" s="9" customFormat="1">
      <c r="G690" s="16"/>
      <c r="H690" s="16"/>
    </row>
    <row r="691" spans="7:8" s="9" customFormat="1">
      <c r="G691" s="16"/>
      <c r="H691" s="16"/>
    </row>
    <row r="692" spans="7:8" s="9" customFormat="1">
      <c r="G692" s="16"/>
      <c r="H692" s="16"/>
    </row>
    <row r="693" spans="7:8" s="9" customFormat="1">
      <c r="G693" s="16"/>
      <c r="H693" s="16"/>
    </row>
    <row r="694" spans="7:8" s="9" customFormat="1">
      <c r="G694" s="16"/>
      <c r="H694" s="16"/>
    </row>
    <row r="695" spans="7:8" s="9" customFormat="1">
      <c r="G695" s="16"/>
      <c r="H695" s="16"/>
    </row>
    <row r="696" spans="7:8" s="9" customFormat="1">
      <c r="G696" s="16"/>
      <c r="H696" s="16"/>
    </row>
    <row r="697" spans="7:8" s="9" customFormat="1">
      <c r="G697" s="16"/>
      <c r="H697" s="16"/>
    </row>
    <row r="698" spans="7:8" s="9" customFormat="1">
      <c r="G698" s="16"/>
      <c r="H698" s="16"/>
    </row>
    <row r="699" spans="7:8" s="9" customFormat="1">
      <c r="G699" s="16"/>
      <c r="H699" s="16"/>
    </row>
    <row r="700" spans="7:8" s="9" customFormat="1">
      <c r="G700" s="16"/>
      <c r="H700" s="16"/>
    </row>
    <row r="701" spans="7:8" s="9" customFormat="1">
      <c r="G701" s="16"/>
      <c r="H701" s="16"/>
    </row>
    <row r="702" spans="7:8" s="9" customFormat="1">
      <c r="G702" s="16"/>
      <c r="H702" s="16"/>
    </row>
    <row r="703" spans="7:8" s="9" customFormat="1">
      <c r="G703" s="16"/>
      <c r="H703" s="16"/>
    </row>
    <row r="704" spans="7:8" s="9" customFormat="1">
      <c r="G704" s="16"/>
      <c r="H704" s="16"/>
    </row>
    <row r="705" spans="7:8" s="9" customFormat="1">
      <c r="G705" s="16"/>
      <c r="H705" s="16"/>
    </row>
    <row r="706" spans="7:8" s="9" customFormat="1">
      <c r="G706" s="16"/>
      <c r="H706" s="16"/>
    </row>
    <row r="707" spans="7:8" s="9" customFormat="1">
      <c r="G707" s="16"/>
      <c r="H707" s="16"/>
    </row>
    <row r="708" spans="7:8" s="9" customFormat="1">
      <c r="G708" s="16"/>
      <c r="H708" s="16"/>
    </row>
    <row r="709" spans="7:8" s="9" customFormat="1">
      <c r="G709" s="16"/>
      <c r="H709" s="16"/>
    </row>
    <row r="710" spans="7:8" s="9" customFormat="1">
      <c r="G710" s="16"/>
      <c r="H710" s="16"/>
    </row>
    <row r="711" spans="7:8" s="9" customFormat="1">
      <c r="G711" s="16"/>
      <c r="H711" s="16"/>
    </row>
    <row r="712" spans="7:8" s="9" customFormat="1">
      <c r="G712" s="16"/>
      <c r="H712" s="16"/>
    </row>
    <row r="713" spans="7:8" s="9" customFormat="1">
      <c r="G713" s="16"/>
      <c r="H713" s="16"/>
    </row>
    <row r="714" spans="7:8" s="9" customFormat="1">
      <c r="G714" s="16"/>
      <c r="H714" s="16"/>
    </row>
    <row r="715" spans="7:8" s="9" customFormat="1">
      <c r="G715" s="16"/>
      <c r="H715" s="16"/>
    </row>
    <row r="716" spans="7:8" s="9" customFormat="1">
      <c r="G716" s="16"/>
      <c r="H716" s="16"/>
    </row>
    <row r="717" spans="7:8" s="9" customFormat="1">
      <c r="G717" s="16"/>
      <c r="H717" s="16"/>
    </row>
    <row r="718" spans="7:8" s="9" customFormat="1">
      <c r="G718" s="16"/>
      <c r="H718" s="16"/>
    </row>
    <row r="719" spans="7:8" s="9" customFormat="1">
      <c r="G719" s="16"/>
      <c r="H719" s="16"/>
    </row>
    <row r="720" spans="7:8" s="9" customFormat="1">
      <c r="G720" s="16"/>
      <c r="H720" s="16"/>
    </row>
    <row r="721" spans="7:8" s="9" customFormat="1">
      <c r="G721" s="16"/>
      <c r="H721" s="16"/>
    </row>
    <row r="722" spans="7:8" s="9" customFormat="1">
      <c r="G722" s="16"/>
      <c r="H722" s="16"/>
    </row>
    <row r="723" spans="7:8" s="9" customFormat="1">
      <c r="G723" s="16"/>
      <c r="H723" s="16"/>
    </row>
    <row r="724" spans="7:8" s="9" customFormat="1">
      <c r="G724" s="16"/>
      <c r="H724" s="16"/>
    </row>
    <row r="725" spans="7:8" s="9" customFormat="1">
      <c r="G725" s="16"/>
      <c r="H725" s="16"/>
    </row>
    <row r="726" spans="7:8" s="9" customFormat="1">
      <c r="G726" s="16"/>
      <c r="H726" s="16"/>
    </row>
    <row r="727" spans="7:8" s="9" customFormat="1">
      <c r="G727" s="16"/>
      <c r="H727" s="16"/>
    </row>
    <row r="728" spans="7:8" s="9" customFormat="1">
      <c r="G728" s="16"/>
      <c r="H728" s="16"/>
    </row>
    <row r="729" spans="7:8" s="9" customFormat="1">
      <c r="G729" s="16"/>
      <c r="H729" s="16"/>
    </row>
    <row r="730" spans="7:8" s="9" customFormat="1">
      <c r="G730" s="16"/>
      <c r="H730" s="16"/>
    </row>
    <row r="731" spans="7:8" s="9" customFormat="1">
      <c r="G731" s="16"/>
      <c r="H731" s="16"/>
    </row>
    <row r="732" spans="7:8" s="9" customFormat="1">
      <c r="G732" s="16"/>
      <c r="H732" s="16"/>
    </row>
    <row r="733" spans="7:8" s="9" customFormat="1">
      <c r="G733" s="16"/>
      <c r="H733" s="16"/>
    </row>
    <row r="734" spans="7:8" s="9" customFormat="1">
      <c r="G734" s="16"/>
      <c r="H734" s="16"/>
    </row>
    <row r="735" spans="7:8" s="9" customFormat="1">
      <c r="G735" s="16"/>
      <c r="H735" s="16"/>
    </row>
    <row r="736" spans="7:8" s="9" customFormat="1">
      <c r="G736" s="16"/>
      <c r="H736" s="16"/>
    </row>
    <row r="737" spans="7:8" s="9" customFormat="1">
      <c r="G737" s="16"/>
      <c r="H737" s="16"/>
    </row>
    <row r="738" spans="7:8" s="9" customFormat="1">
      <c r="G738" s="16"/>
      <c r="H738" s="16"/>
    </row>
    <row r="739" spans="7:8" s="9" customFormat="1">
      <c r="G739" s="16"/>
      <c r="H739" s="16"/>
    </row>
    <row r="740" spans="7:8" s="9" customFormat="1">
      <c r="G740" s="16"/>
      <c r="H740" s="16"/>
    </row>
    <row r="741" spans="7:8" s="9" customFormat="1">
      <c r="G741" s="16"/>
      <c r="H741" s="16"/>
    </row>
    <row r="742" spans="7:8" s="9" customFormat="1">
      <c r="G742" s="16"/>
      <c r="H742" s="16"/>
    </row>
    <row r="743" spans="7:8" s="9" customFormat="1">
      <c r="G743" s="16"/>
      <c r="H743" s="16"/>
    </row>
    <row r="744" spans="7:8" s="9" customFormat="1">
      <c r="G744" s="16"/>
      <c r="H744" s="16"/>
    </row>
    <row r="745" spans="7:8" s="9" customFormat="1">
      <c r="G745" s="16"/>
      <c r="H745" s="16"/>
    </row>
    <row r="746" spans="7:8" s="9" customFormat="1">
      <c r="G746" s="16"/>
      <c r="H746" s="16"/>
    </row>
    <row r="747" spans="7:8" s="9" customFormat="1">
      <c r="G747" s="16"/>
      <c r="H747" s="16"/>
    </row>
    <row r="748" spans="7:8" s="9" customFormat="1">
      <c r="G748" s="16"/>
      <c r="H748" s="16"/>
    </row>
    <row r="749" spans="7:8" s="9" customFormat="1">
      <c r="G749" s="16"/>
      <c r="H749" s="16"/>
    </row>
    <row r="750" spans="7:8" s="9" customFormat="1">
      <c r="G750" s="16"/>
      <c r="H750" s="16"/>
    </row>
    <row r="751" spans="7:8" s="9" customFormat="1">
      <c r="G751" s="16"/>
      <c r="H751" s="16"/>
    </row>
    <row r="752" spans="7:8" s="9" customFormat="1">
      <c r="G752" s="16"/>
      <c r="H752" s="16"/>
    </row>
    <row r="753" spans="7:8" s="9" customFormat="1">
      <c r="G753" s="16"/>
      <c r="H753" s="16"/>
    </row>
    <row r="754" spans="7:8" s="9" customFormat="1">
      <c r="G754" s="16"/>
      <c r="H754" s="16"/>
    </row>
    <row r="755" spans="7:8" s="9" customFormat="1">
      <c r="G755" s="16"/>
      <c r="H755" s="16"/>
    </row>
    <row r="756" spans="7:8" s="9" customFormat="1">
      <c r="G756" s="16"/>
      <c r="H756" s="16"/>
    </row>
    <row r="757" spans="7:8" s="9" customFormat="1">
      <c r="G757" s="16"/>
      <c r="H757" s="16"/>
    </row>
    <row r="758" spans="7:8" s="9" customFormat="1">
      <c r="G758" s="16"/>
      <c r="H758" s="16"/>
    </row>
    <row r="759" spans="7:8" s="9" customFormat="1">
      <c r="G759" s="16"/>
      <c r="H759" s="16"/>
    </row>
    <row r="760" spans="7:8" s="9" customFormat="1">
      <c r="G760" s="16"/>
      <c r="H760" s="16"/>
    </row>
    <row r="761" spans="7:8" s="9" customFormat="1">
      <c r="G761" s="16"/>
      <c r="H761" s="16"/>
    </row>
    <row r="762" spans="7:8" s="9" customFormat="1">
      <c r="G762" s="16"/>
      <c r="H762" s="16"/>
    </row>
    <row r="763" spans="7:8" s="9" customFormat="1">
      <c r="G763" s="16"/>
      <c r="H763" s="16"/>
    </row>
    <row r="764" spans="7:8" s="9" customFormat="1">
      <c r="G764" s="16"/>
      <c r="H764" s="16"/>
    </row>
    <row r="765" spans="7:8" s="9" customFormat="1">
      <c r="G765" s="16"/>
      <c r="H765" s="16"/>
    </row>
    <row r="766" spans="7:8" s="9" customFormat="1">
      <c r="G766" s="16"/>
      <c r="H766" s="16"/>
    </row>
    <row r="767" spans="7:8" s="9" customFormat="1">
      <c r="G767" s="16"/>
      <c r="H767" s="16"/>
    </row>
    <row r="768" spans="7:8" s="9" customFormat="1">
      <c r="G768" s="16"/>
      <c r="H768" s="16"/>
    </row>
    <row r="769" spans="7:8" s="9" customFormat="1">
      <c r="G769" s="16"/>
      <c r="H769" s="16"/>
    </row>
    <row r="770" spans="7:8" s="9" customFormat="1">
      <c r="G770" s="16"/>
      <c r="H770" s="16"/>
    </row>
    <row r="771" spans="7:8" s="9" customFormat="1">
      <c r="G771" s="16"/>
      <c r="H771" s="16"/>
    </row>
    <row r="772" spans="7:8" s="9" customFormat="1">
      <c r="G772" s="16"/>
      <c r="H772" s="16"/>
    </row>
    <row r="773" spans="7:8" s="9" customFormat="1">
      <c r="G773" s="16"/>
      <c r="H773" s="16"/>
    </row>
    <row r="774" spans="7:8" s="9" customFormat="1">
      <c r="G774" s="16"/>
      <c r="H774" s="16"/>
    </row>
    <row r="775" spans="7:8" s="9" customFormat="1">
      <c r="G775" s="16"/>
      <c r="H775" s="16"/>
    </row>
    <row r="776" spans="7:8" s="9" customFormat="1">
      <c r="G776" s="16"/>
      <c r="H776" s="16"/>
    </row>
    <row r="777" spans="7:8" s="9" customFormat="1">
      <c r="G777" s="16"/>
      <c r="H777" s="16"/>
    </row>
    <row r="778" spans="7:8" s="9" customFormat="1">
      <c r="G778" s="16"/>
      <c r="H778" s="16"/>
    </row>
    <row r="779" spans="7:8" s="9" customFormat="1">
      <c r="G779" s="16"/>
      <c r="H779" s="16"/>
    </row>
    <row r="780" spans="7:8" s="9" customFormat="1">
      <c r="G780" s="16"/>
      <c r="H780" s="16"/>
    </row>
    <row r="781" spans="7:8" s="9" customFormat="1">
      <c r="G781" s="16"/>
      <c r="H781" s="16"/>
    </row>
    <row r="782" spans="7:8" s="9" customFormat="1">
      <c r="G782" s="16"/>
      <c r="H782" s="16"/>
    </row>
    <row r="783" spans="7:8" s="9" customFormat="1">
      <c r="G783" s="16"/>
      <c r="H783" s="16"/>
    </row>
    <row r="784" spans="7:8" s="9" customFormat="1">
      <c r="G784" s="16"/>
      <c r="H784" s="16"/>
    </row>
    <row r="785" spans="7:8" s="9" customFormat="1">
      <c r="G785" s="16"/>
      <c r="H785" s="16"/>
    </row>
    <row r="786" spans="7:8" s="9" customFormat="1">
      <c r="G786" s="16"/>
      <c r="H786" s="16"/>
    </row>
    <row r="787" spans="7:8" s="9" customFormat="1">
      <c r="G787" s="16"/>
      <c r="H787" s="16"/>
    </row>
    <row r="788" spans="7:8" s="9" customFormat="1">
      <c r="G788" s="16"/>
      <c r="H788" s="16"/>
    </row>
    <row r="789" spans="7:8" s="9" customFormat="1">
      <c r="G789" s="16"/>
      <c r="H789" s="16"/>
    </row>
    <row r="790" spans="7:8" s="9" customFormat="1">
      <c r="G790" s="16"/>
      <c r="H790" s="16"/>
    </row>
    <row r="791" spans="7:8" s="9" customFormat="1">
      <c r="G791" s="16"/>
      <c r="H791" s="16"/>
    </row>
    <row r="792" spans="7:8" s="9" customFormat="1">
      <c r="G792" s="16"/>
      <c r="H792" s="16"/>
    </row>
    <row r="793" spans="7:8" s="9" customFormat="1">
      <c r="G793" s="16"/>
      <c r="H793" s="16"/>
    </row>
    <row r="794" spans="7:8" s="9" customFormat="1">
      <c r="G794" s="16"/>
      <c r="H794" s="16"/>
    </row>
    <row r="795" spans="7:8" s="9" customFormat="1">
      <c r="G795" s="16"/>
      <c r="H795" s="16"/>
    </row>
    <row r="796" spans="7:8" s="9" customFormat="1">
      <c r="G796" s="16"/>
      <c r="H796" s="16"/>
    </row>
    <row r="797" spans="7:8" s="9" customFormat="1">
      <c r="G797" s="16"/>
      <c r="H797" s="16"/>
    </row>
    <row r="798" spans="7:8" s="9" customFormat="1">
      <c r="G798" s="16"/>
      <c r="H798" s="16"/>
    </row>
    <row r="799" spans="7:8" s="9" customFormat="1">
      <c r="G799" s="16"/>
      <c r="H799" s="16"/>
    </row>
    <row r="800" spans="7:8" s="9" customFormat="1">
      <c r="G800" s="16"/>
      <c r="H800" s="16"/>
    </row>
    <row r="801" spans="7:8" s="9" customFormat="1">
      <c r="G801" s="16"/>
      <c r="H801" s="16"/>
    </row>
    <row r="802" spans="7:8" s="9" customFormat="1">
      <c r="G802" s="16"/>
      <c r="H802" s="16"/>
    </row>
    <row r="803" spans="7:8" s="9" customFormat="1">
      <c r="G803" s="16"/>
      <c r="H803" s="16"/>
    </row>
    <row r="804" spans="7:8" s="9" customFormat="1">
      <c r="G804" s="16"/>
      <c r="H804" s="16"/>
    </row>
    <row r="805" spans="7:8" s="9" customFormat="1">
      <c r="G805" s="16"/>
      <c r="H805" s="16"/>
    </row>
    <row r="806" spans="7:8" s="9" customFormat="1">
      <c r="G806" s="16"/>
      <c r="H806" s="16"/>
    </row>
    <row r="807" spans="7:8" s="9" customFormat="1">
      <c r="G807" s="16"/>
      <c r="H807" s="16"/>
    </row>
    <row r="808" spans="7:8" s="9" customFormat="1">
      <c r="G808" s="16"/>
      <c r="H808" s="16"/>
    </row>
    <row r="809" spans="7:8" s="9" customFormat="1">
      <c r="G809" s="16"/>
      <c r="H809" s="16"/>
    </row>
    <row r="810" spans="7:8" s="9" customFormat="1">
      <c r="G810" s="16"/>
      <c r="H810" s="16"/>
    </row>
    <row r="811" spans="7:8" s="9" customFormat="1">
      <c r="G811" s="16"/>
      <c r="H811" s="16"/>
    </row>
    <row r="812" spans="7:8" s="9" customFormat="1">
      <c r="G812" s="16"/>
      <c r="H812" s="16"/>
    </row>
    <row r="813" spans="7:8" s="9" customFormat="1">
      <c r="G813" s="16"/>
      <c r="H813" s="16"/>
    </row>
    <row r="814" spans="7:8" s="9" customFormat="1">
      <c r="G814" s="16"/>
      <c r="H814" s="16"/>
    </row>
    <row r="815" spans="7:8" s="9" customFormat="1">
      <c r="G815" s="16"/>
      <c r="H815" s="16"/>
    </row>
    <row r="816" spans="7:8" s="9" customFormat="1">
      <c r="G816" s="16"/>
      <c r="H816" s="16"/>
    </row>
    <row r="817" spans="7:8" s="9" customFormat="1">
      <c r="G817" s="16"/>
      <c r="H817" s="16"/>
    </row>
    <row r="818" spans="7:8" s="9" customFormat="1">
      <c r="G818" s="16"/>
      <c r="H818" s="16"/>
    </row>
    <row r="819" spans="7:8" s="9" customFormat="1">
      <c r="G819" s="16"/>
      <c r="H819" s="16"/>
    </row>
    <row r="820" spans="7:8" s="9" customFormat="1">
      <c r="G820" s="16"/>
      <c r="H820" s="16"/>
    </row>
    <row r="821" spans="7:8" s="9" customFormat="1">
      <c r="G821" s="16"/>
      <c r="H821" s="16"/>
    </row>
    <row r="822" spans="7:8" s="9" customFormat="1">
      <c r="G822" s="16"/>
      <c r="H822" s="16"/>
    </row>
    <row r="823" spans="7:8" s="9" customFormat="1">
      <c r="G823" s="16"/>
      <c r="H823" s="16"/>
    </row>
    <row r="824" spans="7:8" s="9" customFormat="1">
      <c r="G824" s="16"/>
      <c r="H824" s="16"/>
    </row>
    <row r="825" spans="7:8" s="9" customFormat="1">
      <c r="G825" s="16"/>
      <c r="H825" s="16"/>
    </row>
    <row r="826" spans="7:8" s="9" customFormat="1">
      <c r="G826" s="16"/>
      <c r="H826" s="16"/>
    </row>
    <row r="827" spans="7:8" s="9" customFormat="1">
      <c r="G827" s="16"/>
      <c r="H827" s="16"/>
    </row>
    <row r="828" spans="7:8" s="9" customFormat="1">
      <c r="G828" s="16"/>
      <c r="H828" s="16"/>
    </row>
    <row r="829" spans="7:8" s="9" customFormat="1">
      <c r="G829" s="16"/>
      <c r="H829" s="16"/>
    </row>
    <row r="830" spans="7:8" s="9" customFormat="1">
      <c r="G830" s="16"/>
      <c r="H830" s="16"/>
    </row>
    <row r="831" spans="7:8" s="9" customFormat="1">
      <c r="G831" s="16"/>
      <c r="H831" s="16"/>
    </row>
    <row r="832" spans="7:8" s="9" customFormat="1">
      <c r="G832" s="16"/>
      <c r="H832" s="16"/>
    </row>
    <row r="833" spans="7:8" s="9" customFormat="1">
      <c r="G833" s="16"/>
      <c r="H833" s="16"/>
    </row>
    <row r="834" spans="7:8" s="9" customFormat="1">
      <c r="G834" s="16"/>
      <c r="H834" s="16"/>
    </row>
    <row r="835" spans="7:8" s="9" customFormat="1">
      <c r="G835" s="16"/>
      <c r="H835" s="16"/>
    </row>
    <row r="836" spans="7:8" s="9" customFormat="1">
      <c r="G836" s="16"/>
      <c r="H836" s="16"/>
    </row>
    <row r="837" spans="7:8" s="9" customFormat="1">
      <c r="G837" s="16"/>
      <c r="H837" s="16"/>
    </row>
    <row r="838" spans="7:8" s="9" customFormat="1">
      <c r="G838" s="16"/>
      <c r="H838" s="16"/>
    </row>
    <row r="839" spans="7:8" s="9" customFormat="1">
      <c r="G839" s="16"/>
      <c r="H839" s="16"/>
    </row>
    <row r="840" spans="7:8" s="9" customFormat="1">
      <c r="G840" s="16"/>
      <c r="H840" s="16"/>
    </row>
    <row r="841" spans="7:8" s="9" customFormat="1">
      <c r="G841" s="16"/>
      <c r="H841" s="16"/>
    </row>
    <row r="842" spans="7:8" s="9" customFormat="1">
      <c r="G842" s="16"/>
      <c r="H842" s="16"/>
    </row>
    <row r="843" spans="7:8" s="9" customFormat="1">
      <c r="G843" s="16"/>
      <c r="H843" s="16"/>
    </row>
    <row r="844" spans="7:8" s="9" customFormat="1">
      <c r="G844" s="16"/>
      <c r="H844" s="16"/>
    </row>
    <row r="845" spans="7:8" s="9" customFormat="1">
      <c r="G845" s="16"/>
      <c r="H845" s="16"/>
    </row>
    <row r="846" spans="7:8" s="9" customFormat="1">
      <c r="G846" s="16"/>
      <c r="H846" s="16"/>
    </row>
    <row r="847" spans="7:8" s="9" customFormat="1">
      <c r="G847" s="16"/>
      <c r="H847" s="16"/>
    </row>
    <row r="848" spans="7:8" s="9" customFormat="1">
      <c r="G848" s="16"/>
      <c r="H848" s="16"/>
    </row>
    <row r="849" spans="7:8" s="9" customFormat="1">
      <c r="G849" s="16"/>
      <c r="H849" s="16"/>
    </row>
    <row r="850" spans="7:8" s="9" customFormat="1">
      <c r="G850" s="16"/>
      <c r="H850" s="16"/>
    </row>
    <row r="851" spans="7:8" s="9" customFormat="1">
      <c r="G851" s="16"/>
      <c r="H851" s="16"/>
    </row>
    <row r="852" spans="7:8" s="9" customFormat="1">
      <c r="G852" s="16"/>
      <c r="H852" s="16"/>
    </row>
    <row r="853" spans="7:8" s="9" customFormat="1">
      <c r="G853" s="16"/>
      <c r="H853" s="16"/>
    </row>
    <row r="854" spans="7:8" s="9" customFormat="1">
      <c r="G854" s="16"/>
      <c r="H854" s="16"/>
    </row>
    <row r="855" spans="7:8" s="9" customFormat="1">
      <c r="G855" s="16"/>
      <c r="H855" s="16"/>
    </row>
    <row r="856" spans="7:8" s="9" customFormat="1">
      <c r="G856" s="16"/>
      <c r="H856" s="16"/>
    </row>
    <row r="857" spans="7:8" s="9" customFormat="1">
      <c r="G857" s="16"/>
      <c r="H857" s="16"/>
    </row>
    <row r="858" spans="7:8" s="9" customFormat="1">
      <c r="G858" s="16"/>
      <c r="H858" s="16"/>
    </row>
    <row r="859" spans="7:8" s="9" customFormat="1">
      <c r="G859" s="16"/>
      <c r="H859" s="16"/>
    </row>
    <row r="860" spans="7:8" s="9" customFormat="1">
      <c r="G860" s="16"/>
      <c r="H860" s="16"/>
    </row>
    <row r="861" spans="7:8" s="9" customFormat="1">
      <c r="G861" s="16"/>
      <c r="H861" s="16"/>
    </row>
    <row r="862" spans="7:8" s="9" customFormat="1">
      <c r="G862" s="16"/>
      <c r="H862" s="16"/>
    </row>
    <row r="863" spans="7:8" s="9" customFormat="1">
      <c r="G863" s="16"/>
      <c r="H863" s="16"/>
    </row>
    <row r="864" spans="7:8" s="9" customFormat="1">
      <c r="G864" s="16"/>
      <c r="H864" s="16"/>
    </row>
    <row r="865" spans="7:8" s="9" customFormat="1">
      <c r="G865" s="16"/>
      <c r="H865" s="16"/>
    </row>
    <row r="866" spans="7:8" s="9" customFormat="1">
      <c r="G866" s="16"/>
      <c r="H866" s="16"/>
    </row>
    <row r="867" spans="7:8" s="9" customFormat="1">
      <c r="G867" s="16"/>
      <c r="H867" s="16"/>
    </row>
    <row r="868" spans="7:8" s="9" customFormat="1">
      <c r="G868" s="16"/>
      <c r="H868" s="16"/>
    </row>
    <row r="869" spans="7:8" s="9" customFormat="1">
      <c r="G869" s="16"/>
      <c r="H869" s="16"/>
    </row>
    <row r="870" spans="7:8" s="9" customFormat="1">
      <c r="G870" s="16"/>
      <c r="H870" s="16"/>
    </row>
    <row r="871" spans="7:8" s="9" customFormat="1">
      <c r="G871" s="16"/>
      <c r="H871" s="16"/>
    </row>
    <row r="872" spans="7:8" s="9" customFormat="1">
      <c r="G872" s="16"/>
      <c r="H872" s="16"/>
    </row>
    <row r="873" spans="7:8" s="9" customFormat="1">
      <c r="G873" s="16"/>
      <c r="H873" s="16"/>
    </row>
    <row r="874" spans="7:8" s="9" customFormat="1">
      <c r="G874" s="16"/>
      <c r="H874" s="16"/>
    </row>
    <row r="875" spans="7:8" s="9" customFormat="1">
      <c r="G875" s="16"/>
      <c r="H875" s="16"/>
    </row>
    <row r="876" spans="7:8" s="9" customFormat="1">
      <c r="G876" s="16"/>
      <c r="H876" s="16"/>
    </row>
    <row r="877" spans="7:8" s="9" customFormat="1">
      <c r="G877" s="16"/>
      <c r="H877" s="16"/>
    </row>
    <row r="878" spans="7:8" s="9" customFormat="1">
      <c r="G878" s="16"/>
      <c r="H878" s="16"/>
    </row>
    <row r="879" spans="7:8" s="9" customFormat="1">
      <c r="G879" s="16"/>
      <c r="H879" s="16"/>
    </row>
    <row r="880" spans="7:8" s="9" customFormat="1">
      <c r="G880" s="16"/>
      <c r="H880" s="16"/>
    </row>
    <row r="881" spans="7:8" s="9" customFormat="1">
      <c r="G881" s="16"/>
      <c r="H881" s="16"/>
    </row>
    <row r="882" spans="7:8" s="9" customFormat="1">
      <c r="G882" s="16"/>
      <c r="H882" s="16"/>
    </row>
    <row r="883" spans="7:8" s="9" customFormat="1">
      <c r="G883" s="16"/>
      <c r="H883" s="16"/>
    </row>
    <row r="884" spans="7:8" s="9" customFormat="1">
      <c r="G884" s="16"/>
      <c r="H884" s="16"/>
    </row>
    <row r="885" spans="7:8" s="9" customFormat="1">
      <c r="G885" s="16"/>
      <c r="H885" s="16"/>
    </row>
    <row r="886" spans="7:8" s="9" customFormat="1">
      <c r="G886" s="16"/>
      <c r="H886" s="16"/>
    </row>
    <row r="887" spans="7:8" s="9" customFormat="1">
      <c r="G887" s="16"/>
      <c r="H887" s="16"/>
    </row>
    <row r="888" spans="7:8" s="9" customFormat="1">
      <c r="G888" s="16"/>
      <c r="H888" s="16"/>
    </row>
    <row r="889" spans="7:8" s="9" customFormat="1">
      <c r="G889" s="16"/>
      <c r="H889" s="16"/>
    </row>
    <row r="890" spans="7:8" s="9" customFormat="1">
      <c r="G890" s="16"/>
      <c r="H890" s="16"/>
    </row>
    <row r="891" spans="7:8" s="9" customFormat="1">
      <c r="G891" s="16"/>
      <c r="H891" s="16"/>
    </row>
    <row r="892" spans="7:8" s="9" customFormat="1">
      <c r="G892" s="16"/>
      <c r="H892" s="16"/>
    </row>
    <row r="893" spans="7:8" s="9" customFormat="1">
      <c r="G893" s="16"/>
      <c r="H893" s="16"/>
    </row>
    <row r="894" spans="7:8" s="9" customFormat="1">
      <c r="G894" s="16"/>
      <c r="H894" s="16"/>
    </row>
    <row r="895" spans="7:8" s="9" customFormat="1">
      <c r="G895" s="16"/>
      <c r="H895" s="16"/>
    </row>
    <row r="896" spans="7:8" s="9" customFormat="1">
      <c r="G896" s="16"/>
      <c r="H896" s="16"/>
    </row>
    <row r="897" spans="7:8" s="9" customFormat="1">
      <c r="G897" s="16"/>
      <c r="H897" s="16"/>
    </row>
    <row r="898" spans="7:8" s="9" customFormat="1">
      <c r="G898" s="16"/>
      <c r="H898" s="16"/>
    </row>
    <row r="899" spans="7:8" s="9" customFormat="1">
      <c r="G899" s="16"/>
      <c r="H899" s="16"/>
    </row>
    <row r="900" spans="7:8" s="9" customFormat="1">
      <c r="G900" s="16"/>
      <c r="H900" s="16"/>
    </row>
    <row r="901" spans="7:8" s="9" customFormat="1">
      <c r="G901" s="16"/>
      <c r="H901" s="16"/>
    </row>
    <row r="902" spans="7:8" s="9" customFormat="1">
      <c r="G902" s="16"/>
      <c r="H902" s="16"/>
    </row>
    <row r="903" spans="7:8" s="9" customFormat="1">
      <c r="G903" s="16"/>
      <c r="H903" s="16"/>
    </row>
    <row r="904" spans="7:8" s="9" customFormat="1">
      <c r="G904" s="16"/>
      <c r="H904" s="16"/>
    </row>
    <row r="905" spans="7:8" s="9" customFormat="1">
      <c r="G905" s="16"/>
      <c r="H905" s="16"/>
    </row>
    <row r="906" spans="7:8" s="9" customFormat="1">
      <c r="G906" s="16"/>
      <c r="H906" s="16"/>
    </row>
    <row r="907" spans="7:8" s="9" customFormat="1">
      <c r="G907" s="16"/>
      <c r="H907" s="16"/>
    </row>
    <row r="908" spans="7:8" s="9" customFormat="1">
      <c r="G908" s="16"/>
      <c r="H908" s="16"/>
    </row>
    <row r="909" spans="7:8" s="9" customFormat="1">
      <c r="G909" s="16"/>
      <c r="H909" s="16"/>
    </row>
    <row r="910" spans="7:8" s="9" customFormat="1">
      <c r="G910" s="16"/>
      <c r="H910" s="16"/>
    </row>
    <row r="911" spans="7:8" s="9" customFormat="1">
      <c r="G911" s="16"/>
      <c r="H911" s="16"/>
    </row>
    <row r="912" spans="7:8" s="9" customFormat="1">
      <c r="G912" s="16"/>
      <c r="H912" s="16"/>
    </row>
    <row r="913" spans="7:8" s="9" customFormat="1">
      <c r="G913" s="16"/>
      <c r="H913" s="16"/>
    </row>
    <row r="914" spans="7:8" s="9" customFormat="1">
      <c r="G914" s="16"/>
      <c r="H914" s="16"/>
    </row>
    <row r="915" spans="7:8" s="9" customFormat="1">
      <c r="G915" s="16"/>
      <c r="H915" s="16"/>
    </row>
    <row r="916" spans="7:8" s="9" customFormat="1">
      <c r="G916" s="16"/>
      <c r="H916" s="16"/>
    </row>
    <row r="917" spans="7:8" s="9" customFormat="1">
      <c r="G917" s="16"/>
      <c r="H917" s="16"/>
    </row>
    <row r="918" spans="7:8" s="9" customFormat="1">
      <c r="G918" s="16"/>
      <c r="H918" s="16"/>
    </row>
    <row r="919" spans="7:8" s="9" customFormat="1">
      <c r="G919" s="16"/>
      <c r="H919" s="16"/>
    </row>
    <row r="920" spans="7:8" s="9" customFormat="1">
      <c r="G920" s="16"/>
      <c r="H920" s="16"/>
    </row>
    <row r="921" spans="7:8" s="9" customFormat="1">
      <c r="G921" s="16"/>
      <c r="H921" s="16"/>
    </row>
    <row r="922" spans="7:8" s="9" customFormat="1">
      <c r="G922" s="16"/>
      <c r="H922" s="16"/>
    </row>
    <row r="923" spans="7:8" s="9" customFormat="1">
      <c r="G923" s="16"/>
      <c r="H923" s="16"/>
    </row>
    <row r="924" spans="7:8" s="9" customFormat="1">
      <c r="G924" s="16"/>
      <c r="H924" s="16"/>
    </row>
    <row r="925" spans="7:8" s="9" customFormat="1">
      <c r="G925" s="16"/>
      <c r="H925" s="16"/>
    </row>
    <row r="926" spans="7:8" s="9" customFormat="1">
      <c r="G926" s="16"/>
      <c r="H926" s="16"/>
    </row>
    <row r="927" spans="7:8" s="9" customFormat="1">
      <c r="G927" s="16"/>
      <c r="H927" s="16"/>
    </row>
    <row r="928" spans="7:8" s="9" customFormat="1">
      <c r="G928" s="16"/>
      <c r="H928" s="16"/>
    </row>
    <row r="929" spans="7:8" s="9" customFormat="1">
      <c r="G929" s="16"/>
      <c r="H929" s="16"/>
    </row>
    <row r="930" spans="7:8" s="9" customFormat="1">
      <c r="G930" s="16"/>
      <c r="H930" s="16"/>
    </row>
    <row r="931" spans="7:8" s="9" customFormat="1">
      <c r="G931" s="16"/>
      <c r="H931" s="16"/>
    </row>
    <row r="932" spans="7:8" s="9" customFormat="1">
      <c r="G932" s="16"/>
      <c r="H932" s="16"/>
    </row>
    <row r="933" spans="7:8" s="9" customFormat="1">
      <c r="G933" s="16"/>
      <c r="H933" s="16"/>
    </row>
    <row r="934" spans="7:8" s="9" customFormat="1">
      <c r="G934" s="16"/>
      <c r="H934" s="16"/>
    </row>
    <row r="935" spans="7:8" s="9" customFormat="1">
      <c r="G935" s="16"/>
      <c r="H935" s="16"/>
    </row>
    <row r="936" spans="7:8" s="9" customFormat="1">
      <c r="G936" s="16"/>
      <c r="H936" s="16"/>
    </row>
    <row r="937" spans="7:8" s="9" customFormat="1">
      <c r="G937" s="16"/>
      <c r="H937" s="16"/>
    </row>
    <row r="938" spans="7:8" s="9" customFormat="1">
      <c r="G938" s="16"/>
      <c r="H938" s="16"/>
    </row>
    <row r="939" spans="7:8" s="9" customFormat="1">
      <c r="G939" s="16"/>
      <c r="H939" s="16"/>
    </row>
    <row r="940" spans="7:8" s="9" customFormat="1">
      <c r="G940" s="16"/>
      <c r="H940" s="16"/>
    </row>
    <row r="941" spans="7:8" s="9" customFormat="1">
      <c r="G941" s="16"/>
      <c r="H941" s="16"/>
    </row>
    <row r="942" spans="7:8" s="9" customFormat="1">
      <c r="G942" s="16"/>
      <c r="H942" s="16"/>
    </row>
    <row r="943" spans="7:8" s="9" customFormat="1">
      <c r="G943" s="16"/>
      <c r="H943" s="16"/>
    </row>
    <row r="944" spans="7:8" s="9" customFormat="1">
      <c r="G944" s="16"/>
      <c r="H944" s="16"/>
    </row>
    <row r="945" spans="7:8" s="9" customFormat="1">
      <c r="G945" s="16"/>
      <c r="H945" s="16"/>
    </row>
    <row r="946" spans="7:8" s="9" customFormat="1">
      <c r="G946" s="16"/>
      <c r="H946" s="16"/>
    </row>
    <row r="947" spans="7:8" s="9" customFormat="1">
      <c r="G947" s="16"/>
      <c r="H947" s="16"/>
    </row>
    <row r="948" spans="7:8" s="9" customFormat="1">
      <c r="G948" s="16"/>
      <c r="H948" s="16"/>
    </row>
    <row r="949" spans="7:8" s="9" customFormat="1">
      <c r="G949" s="16"/>
      <c r="H949" s="16"/>
    </row>
    <row r="950" spans="7:8" s="9" customFormat="1">
      <c r="G950" s="16"/>
      <c r="H950" s="16"/>
    </row>
    <row r="951" spans="7:8" s="9" customFormat="1">
      <c r="G951" s="16"/>
      <c r="H951" s="16"/>
    </row>
    <row r="952" spans="7:8" s="9" customFormat="1">
      <c r="G952" s="16"/>
      <c r="H952" s="16"/>
    </row>
    <row r="953" spans="7:8" s="9" customFormat="1">
      <c r="G953" s="16"/>
      <c r="H953" s="16"/>
    </row>
    <row r="954" spans="7:8" s="9" customFormat="1">
      <c r="G954" s="16"/>
      <c r="H954" s="16"/>
    </row>
    <row r="955" spans="7:8" s="9" customFormat="1">
      <c r="G955" s="16"/>
      <c r="H955" s="16"/>
    </row>
    <row r="956" spans="7:8" s="9" customFormat="1">
      <c r="G956" s="16"/>
      <c r="H956" s="16"/>
    </row>
    <row r="957" spans="7:8" s="9" customFormat="1">
      <c r="G957" s="16"/>
      <c r="H957" s="16"/>
    </row>
    <row r="958" spans="7:8" s="9" customFormat="1">
      <c r="G958" s="16"/>
      <c r="H958" s="16"/>
    </row>
    <row r="959" spans="7:8" s="9" customFormat="1">
      <c r="G959" s="16"/>
      <c r="H959" s="16"/>
    </row>
    <row r="960" spans="7:8" s="9" customFormat="1">
      <c r="G960" s="16"/>
      <c r="H960" s="16"/>
    </row>
    <row r="961" spans="7:8" s="9" customFormat="1">
      <c r="G961" s="16"/>
      <c r="H961" s="16"/>
    </row>
    <row r="962" spans="7:8" s="9" customFormat="1">
      <c r="G962" s="16"/>
      <c r="H962" s="16"/>
    </row>
    <row r="963" spans="7:8" s="9" customFormat="1">
      <c r="G963" s="16"/>
      <c r="H963" s="16"/>
    </row>
    <row r="964" spans="7:8" s="9" customFormat="1">
      <c r="G964" s="16"/>
      <c r="H964" s="16"/>
    </row>
    <row r="965" spans="7:8" s="9" customFormat="1">
      <c r="G965" s="16"/>
      <c r="H965" s="16"/>
    </row>
    <row r="966" spans="7:8" s="9" customFormat="1">
      <c r="G966" s="16"/>
      <c r="H966" s="16"/>
    </row>
    <row r="967" spans="7:8" s="9" customFormat="1">
      <c r="G967" s="16"/>
      <c r="H967" s="16"/>
    </row>
    <row r="968" spans="7:8" s="9" customFormat="1">
      <c r="G968" s="16"/>
      <c r="H968" s="16"/>
    </row>
    <row r="969" spans="7:8" s="9" customFormat="1">
      <c r="G969" s="16"/>
      <c r="H969" s="16"/>
    </row>
    <row r="970" spans="7:8" s="9" customFormat="1">
      <c r="G970" s="16"/>
      <c r="H970" s="16"/>
    </row>
    <row r="971" spans="7:8" s="9" customFormat="1">
      <c r="G971" s="16"/>
      <c r="H971" s="16"/>
    </row>
    <row r="972" spans="7:8" s="9" customFormat="1">
      <c r="G972" s="16"/>
      <c r="H972" s="16"/>
    </row>
    <row r="973" spans="7:8" s="9" customFormat="1">
      <c r="G973" s="16"/>
      <c r="H973" s="16"/>
    </row>
    <row r="974" spans="7:8" s="9" customFormat="1">
      <c r="G974" s="16"/>
      <c r="H974" s="16"/>
    </row>
    <row r="975" spans="7:8" s="9" customFormat="1">
      <c r="G975" s="16"/>
      <c r="H975" s="16"/>
    </row>
    <row r="976" spans="7:8" s="9" customFormat="1">
      <c r="G976" s="16"/>
      <c r="H976" s="16"/>
    </row>
    <row r="977" spans="7:8" s="9" customFormat="1">
      <c r="G977" s="16"/>
      <c r="H977" s="16"/>
    </row>
    <row r="978" spans="7:8" s="9" customFormat="1">
      <c r="G978" s="16"/>
      <c r="H978" s="16"/>
    </row>
    <row r="979" spans="7:8" s="9" customFormat="1">
      <c r="G979" s="16"/>
      <c r="H979" s="16"/>
    </row>
    <row r="980" spans="7:8" s="9" customFormat="1">
      <c r="G980" s="16"/>
      <c r="H980" s="16"/>
    </row>
    <row r="981" spans="7:8" s="9" customFormat="1">
      <c r="G981" s="16"/>
      <c r="H981" s="16"/>
    </row>
    <row r="982" spans="7:8" s="9" customFormat="1">
      <c r="G982" s="16"/>
      <c r="H982" s="16"/>
    </row>
    <row r="983" spans="7:8" s="9" customFormat="1">
      <c r="G983" s="16"/>
      <c r="H983" s="16"/>
    </row>
    <row r="984" spans="7:8" s="9" customFormat="1">
      <c r="G984" s="16"/>
      <c r="H984" s="16"/>
    </row>
    <row r="985" spans="7:8" s="9" customFormat="1">
      <c r="G985" s="16"/>
      <c r="H985" s="16"/>
    </row>
    <row r="986" spans="7:8" s="9" customFormat="1">
      <c r="G986" s="16"/>
      <c r="H986" s="16"/>
    </row>
    <row r="987" spans="7:8" s="9" customFormat="1">
      <c r="G987" s="16"/>
      <c r="H987" s="16"/>
    </row>
    <row r="988" spans="7:8" s="9" customFormat="1">
      <c r="G988" s="16"/>
      <c r="H988" s="16"/>
    </row>
    <row r="989" spans="7:8" s="9" customFormat="1">
      <c r="G989" s="16"/>
      <c r="H989" s="16"/>
    </row>
    <row r="990" spans="7:8" s="9" customFormat="1">
      <c r="G990" s="16"/>
      <c r="H990" s="16"/>
    </row>
    <row r="991" spans="7:8" s="9" customFormat="1">
      <c r="G991" s="16"/>
      <c r="H991" s="16"/>
    </row>
    <row r="992" spans="7:8" s="9" customFormat="1">
      <c r="G992" s="16"/>
      <c r="H992" s="16"/>
    </row>
    <row r="993" spans="7:8" s="9" customFormat="1">
      <c r="G993" s="16"/>
      <c r="H993" s="16"/>
    </row>
    <row r="994" spans="7:8" s="9" customFormat="1">
      <c r="G994" s="16"/>
      <c r="H994" s="16"/>
    </row>
    <row r="995" spans="7:8" s="9" customFormat="1">
      <c r="G995" s="16"/>
      <c r="H995" s="16"/>
    </row>
    <row r="996" spans="7:8" s="9" customFormat="1">
      <c r="G996" s="16"/>
      <c r="H996" s="16"/>
    </row>
    <row r="997" spans="7:8" s="9" customFormat="1">
      <c r="G997" s="16"/>
      <c r="H997" s="16"/>
    </row>
    <row r="998" spans="7:8" s="9" customFormat="1">
      <c r="G998" s="16"/>
      <c r="H998" s="16"/>
    </row>
    <row r="999" spans="7:8" s="9" customFormat="1">
      <c r="G999" s="16"/>
      <c r="H999" s="16"/>
    </row>
    <row r="1000" spans="7:8" s="9" customFormat="1">
      <c r="G1000" s="16"/>
      <c r="H1000" s="16"/>
    </row>
    <row r="1001" spans="7:8" s="9" customFormat="1">
      <c r="G1001" s="16"/>
      <c r="H1001" s="16"/>
    </row>
    <row r="1002" spans="7:8" s="9" customFormat="1">
      <c r="G1002" s="16"/>
      <c r="H1002" s="16"/>
    </row>
    <row r="1003" spans="7:8" s="9" customFormat="1">
      <c r="G1003" s="16"/>
      <c r="H1003" s="16"/>
    </row>
    <row r="1004" spans="7:8" s="9" customFormat="1">
      <c r="G1004" s="16"/>
      <c r="H1004" s="16"/>
    </row>
    <row r="1005" spans="7:8" s="9" customFormat="1">
      <c r="G1005" s="16"/>
      <c r="H1005" s="16"/>
    </row>
    <row r="1006" spans="7:8" s="9" customFormat="1">
      <c r="G1006" s="16"/>
      <c r="H1006" s="16"/>
    </row>
    <row r="1007" spans="7:8" s="9" customFormat="1">
      <c r="G1007" s="16"/>
      <c r="H1007" s="16"/>
    </row>
    <row r="1008" spans="7:8" s="9" customFormat="1">
      <c r="G1008" s="16"/>
      <c r="H1008" s="16"/>
    </row>
    <row r="1009" spans="7:8" s="9" customFormat="1">
      <c r="G1009" s="16"/>
      <c r="H1009" s="16"/>
    </row>
    <row r="1010" spans="7:8" s="9" customFormat="1">
      <c r="G1010" s="16"/>
      <c r="H1010" s="16"/>
    </row>
    <row r="1011" spans="7:8" s="9" customFormat="1">
      <c r="G1011" s="16"/>
      <c r="H1011" s="16"/>
    </row>
    <row r="1012" spans="7:8" s="9" customFormat="1">
      <c r="G1012" s="16"/>
      <c r="H1012" s="16"/>
    </row>
    <row r="1013" spans="7:8" s="9" customFormat="1">
      <c r="G1013" s="16"/>
      <c r="H1013" s="16"/>
    </row>
    <row r="1014" spans="7:8" s="9" customFormat="1">
      <c r="G1014" s="16"/>
      <c r="H1014" s="16"/>
    </row>
    <row r="1015" spans="7:8" s="9" customFormat="1">
      <c r="G1015" s="16"/>
      <c r="H1015" s="16"/>
    </row>
    <row r="1016" spans="7:8" s="9" customFormat="1">
      <c r="G1016" s="16"/>
      <c r="H1016" s="16"/>
    </row>
    <row r="1017" spans="7:8" s="9" customFormat="1">
      <c r="G1017" s="16"/>
      <c r="H1017" s="16"/>
    </row>
    <row r="1018" spans="7:8" s="9" customFormat="1">
      <c r="G1018" s="16"/>
      <c r="H1018" s="16"/>
    </row>
    <row r="1019" spans="7:8" s="9" customFormat="1">
      <c r="G1019" s="16"/>
      <c r="H1019" s="16"/>
    </row>
    <row r="1020" spans="7:8" s="9" customFormat="1">
      <c r="G1020" s="16"/>
      <c r="H1020" s="16"/>
    </row>
    <row r="1021" spans="7:8" s="9" customFormat="1">
      <c r="G1021" s="16"/>
      <c r="H1021" s="16"/>
    </row>
    <row r="1022" spans="7:8" s="9" customFormat="1">
      <c r="G1022" s="16"/>
      <c r="H1022" s="16"/>
    </row>
    <row r="1023" spans="7:8" s="9" customFormat="1">
      <c r="G1023" s="16"/>
      <c r="H1023" s="16"/>
    </row>
    <row r="1024" spans="7:8" s="9" customFormat="1">
      <c r="G1024" s="16"/>
      <c r="H1024" s="16"/>
    </row>
    <row r="1025" spans="7:8" s="9" customFormat="1">
      <c r="G1025" s="16"/>
      <c r="H1025" s="16"/>
    </row>
    <row r="1026" spans="7:8" s="9" customFormat="1">
      <c r="G1026" s="16"/>
      <c r="H1026" s="16"/>
    </row>
    <row r="1027" spans="7:8" s="9" customFormat="1">
      <c r="G1027" s="16"/>
      <c r="H1027" s="16"/>
    </row>
    <row r="1028" spans="7:8" s="9" customFormat="1">
      <c r="G1028" s="16"/>
      <c r="H1028" s="16"/>
    </row>
    <row r="1029" spans="7:8" s="9" customFormat="1">
      <c r="G1029" s="16"/>
      <c r="H1029" s="16"/>
    </row>
    <row r="1030" spans="7:8" s="9" customFormat="1">
      <c r="G1030" s="16"/>
      <c r="H1030" s="16"/>
    </row>
    <row r="1031" spans="7:8" s="9" customFormat="1">
      <c r="G1031" s="16"/>
      <c r="H1031" s="16"/>
    </row>
    <row r="1032" spans="7:8" s="9" customFormat="1">
      <c r="G1032" s="16"/>
      <c r="H1032" s="16"/>
    </row>
    <row r="1033" spans="7:8" s="9" customFormat="1">
      <c r="G1033" s="16"/>
      <c r="H1033" s="16"/>
    </row>
    <row r="1034" spans="7:8" s="9" customFormat="1">
      <c r="G1034" s="16"/>
      <c r="H1034" s="16"/>
    </row>
    <row r="1035" spans="7:8" s="9" customFormat="1">
      <c r="G1035" s="16"/>
      <c r="H1035" s="16"/>
    </row>
    <row r="1036" spans="7:8" s="9" customFormat="1">
      <c r="G1036" s="16"/>
      <c r="H1036" s="16"/>
    </row>
    <row r="1037" spans="7:8" s="9" customFormat="1">
      <c r="G1037" s="16"/>
      <c r="H1037" s="16"/>
    </row>
    <row r="1038" spans="7:8" s="9" customFormat="1">
      <c r="G1038" s="16"/>
      <c r="H1038" s="16"/>
    </row>
    <row r="1039" spans="7:8" s="9" customFormat="1">
      <c r="G1039" s="16"/>
      <c r="H1039" s="16"/>
    </row>
    <row r="1040" spans="7:8" s="9" customFormat="1">
      <c r="G1040" s="16"/>
      <c r="H1040" s="16"/>
    </row>
    <row r="1041" spans="7:8" s="9" customFormat="1">
      <c r="G1041" s="16"/>
      <c r="H1041" s="16"/>
    </row>
    <row r="1042" spans="7:8" s="9" customFormat="1">
      <c r="G1042" s="16"/>
      <c r="H1042" s="16"/>
    </row>
    <row r="1043" spans="7:8" s="9" customFormat="1">
      <c r="G1043" s="16"/>
      <c r="H1043" s="16"/>
    </row>
    <row r="1044" spans="7:8" s="9" customFormat="1">
      <c r="G1044" s="16"/>
      <c r="H1044" s="16"/>
    </row>
    <row r="1045" spans="7:8" s="9" customFormat="1">
      <c r="G1045" s="16"/>
      <c r="H1045" s="16"/>
    </row>
    <row r="1046" spans="7:8" s="9" customFormat="1">
      <c r="G1046" s="16"/>
      <c r="H1046" s="16"/>
    </row>
    <row r="1047" spans="7:8" s="9" customFormat="1">
      <c r="G1047" s="16"/>
      <c r="H1047" s="16"/>
    </row>
    <row r="1048" spans="7:8" s="9" customFormat="1">
      <c r="G1048" s="16"/>
      <c r="H1048" s="16"/>
    </row>
    <row r="1049" spans="7:8" s="9" customFormat="1">
      <c r="G1049" s="16"/>
      <c r="H1049" s="16"/>
    </row>
    <row r="1050" spans="7:8" s="9" customFormat="1">
      <c r="G1050" s="16"/>
      <c r="H1050" s="16"/>
    </row>
    <row r="1051" spans="7:8" s="9" customFormat="1">
      <c r="G1051" s="16"/>
      <c r="H1051" s="16"/>
    </row>
    <row r="1052" spans="7:8" s="9" customFormat="1">
      <c r="G1052" s="16"/>
      <c r="H1052" s="16"/>
    </row>
    <row r="1053" spans="7:8" s="9" customFormat="1">
      <c r="G1053" s="16"/>
      <c r="H1053" s="16"/>
    </row>
    <row r="1054" spans="7:8" s="9" customFormat="1">
      <c r="G1054" s="16"/>
      <c r="H1054" s="16"/>
    </row>
    <row r="1055" spans="7:8" s="9" customFormat="1">
      <c r="G1055" s="16"/>
      <c r="H1055" s="16"/>
    </row>
    <row r="1056" spans="7:8" s="9" customFormat="1">
      <c r="G1056" s="16"/>
      <c r="H1056" s="16"/>
    </row>
    <row r="1057" spans="7:8" s="9" customFormat="1">
      <c r="G1057" s="16"/>
      <c r="H1057" s="16"/>
    </row>
    <row r="1058" spans="7:8" s="9" customFormat="1">
      <c r="G1058" s="16"/>
      <c r="H1058" s="16"/>
    </row>
    <row r="1059" spans="7:8" s="9" customFormat="1">
      <c r="G1059" s="16"/>
      <c r="H1059" s="16"/>
    </row>
    <row r="1060" spans="7:8" s="9" customFormat="1">
      <c r="G1060" s="16"/>
      <c r="H1060" s="16"/>
    </row>
    <row r="1061" spans="7:8" s="9" customFormat="1">
      <c r="G1061" s="16"/>
      <c r="H1061" s="16"/>
    </row>
    <row r="1062" spans="7:8" s="9" customFormat="1">
      <c r="G1062" s="16"/>
      <c r="H1062" s="16"/>
    </row>
    <row r="1063" spans="7:8" s="9" customFormat="1">
      <c r="G1063" s="16"/>
      <c r="H1063" s="16"/>
    </row>
    <row r="1064" spans="7:8" s="9" customFormat="1">
      <c r="G1064" s="16"/>
      <c r="H1064" s="16"/>
    </row>
    <row r="1065" spans="7:8" s="9" customFormat="1">
      <c r="G1065" s="16"/>
      <c r="H1065" s="16"/>
    </row>
    <row r="1066" spans="7:8" s="9" customFormat="1">
      <c r="G1066" s="16"/>
      <c r="H1066" s="16"/>
    </row>
    <row r="1067" spans="7:8" s="9" customFormat="1">
      <c r="G1067" s="16"/>
      <c r="H1067" s="16"/>
    </row>
    <row r="1068" spans="7:8" s="9" customFormat="1">
      <c r="G1068" s="16"/>
      <c r="H1068" s="16"/>
    </row>
    <row r="1069" spans="7:8" s="9" customFormat="1">
      <c r="G1069" s="16"/>
      <c r="H1069" s="16"/>
    </row>
    <row r="1070" spans="7:8" s="9" customFormat="1">
      <c r="G1070" s="16"/>
      <c r="H1070" s="16"/>
    </row>
    <row r="1071" spans="7:8" s="9" customFormat="1">
      <c r="G1071" s="16"/>
      <c r="H1071" s="16"/>
    </row>
    <row r="1072" spans="7:8" s="9" customFormat="1">
      <c r="G1072" s="16"/>
      <c r="H1072" s="16"/>
    </row>
    <row r="1073" spans="7:8" s="9" customFormat="1">
      <c r="G1073" s="16"/>
      <c r="H1073" s="16"/>
    </row>
    <row r="1074" spans="7:8" s="9" customFormat="1">
      <c r="G1074" s="16"/>
      <c r="H1074" s="16"/>
    </row>
    <row r="1075" spans="7:8" s="9" customFormat="1">
      <c r="G1075" s="16"/>
      <c r="H1075" s="16"/>
    </row>
    <row r="1076" spans="7:8" s="9" customFormat="1">
      <c r="G1076" s="16"/>
      <c r="H1076" s="16"/>
    </row>
    <row r="1077" spans="7:8" s="9" customFormat="1">
      <c r="G1077" s="16"/>
      <c r="H1077" s="16"/>
    </row>
    <row r="1078" spans="7:8" s="9" customFormat="1">
      <c r="G1078" s="16"/>
      <c r="H1078" s="16"/>
    </row>
    <row r="1079" spans="7:8" s="9" customFormat="1">
      <c r="G1079" s="16"/>
      <c r="H1079" s="16"/>
    </row>
    <row r="1080" spans="7:8" s="9" customFormat="1">
      <c r="G1080" s="16"/>
      <c r="H1080" s="16"/>
    </row>
    <row r="1081" spans="7:8" s="9" customFormat="1">
      <c r="G1081" s="16"/>
      <c r="H1081" s="16"/>
    </row>
    <row r="1082" spans="7:8" s="9" customFormat="1">
      <c r="G1082" s="16"/>
      <c r="H1082" s="16"/>
    </row>
    <row r="1083" spans="7:8" s="9" customFormat="1">
      <c r="G1083" s="16"/>
      <c r="H1083" s="16"/>
    </row>
    <row r="1084" spans="7:8" s="9" customFormat="1">
      <c r="G1084" s="16"/>
      <c r="H1084" s="16"/>
    </row>
    <row r="1085" spans="7:8" s="9" customFormat="1">
      <c r="G1085" s="16"/>
      <c r="H1085" s="16"/>
    </row>
    <row r="1086" spans="7:8" s="9" customFormat="1">
      <c r="G1086" s="16"/>
      <c r="H1086" s="16"/>
    </row>
    <row r="1087" spans="7:8" s="9" customFormat="1">
      <c r="G1087" s="16"/>
      <c r="H1087" s="16"/>
    </row>
    <row r="1088" spans="7:8" s="9" customFormat="1">
      <c r="G1088" s="16"/>
      <c r="H1088" s="16"/>
    </row>
    <row r="1089" spans="7:8" s="9" customFormat="1">
      <c r="G1089" s="16"/>
      <c r="H1089" s="16"/>
    </row>
    <row r="1090" spans="7:8" s="9" customFormat="1">
      <c r="G1090" s="16"/>
      <c r="H1090" s="16"/>
    </row>
    <row r="1091" spans="7:8" s="9" customFormat="1">
      <c r="G1091" s="16"/>
      <c r="H1091" s="16"/>
    </row>
    <row r="1092" spans="7:8" s="9" customFormat="1">
      <c r="G1092" s="16"/>
      <c r="H1092" s="16"/>
    </row>
    <row r="1093" spans="7:8" s="9" customFormat="1">
      <c r="G1093" s="16"/>
      <c r="H1093" s="16"/>
    </row>
    <row r="1094" spans="7:8" s="9" customFormat="1">
      <c r="G1094" s="16"/>
      <c r="H1094" s="16"/>
    </row>
    <row r="1095" spans="7:8" s="9" customFormat="1">
      <c r="G1095" s="16"/>
      <c r="H1095" s="16"/>
    </row>
    <row r="1096" spans="7:8" s="9" customFormat="1">
      <c r="G1096" s="16"/>
      <c r="H1096" s="16"/>
    </row>
    <row r="1097" spans="7:8" s="9" customFormat="1">
      <c r="G1097" s="16"/>
      <c r="H1097" s="16"/>
    </row>
    <row r="1098" spans="7:8" s="9" customFormat="1">
      <c r="G1098" s="16"/>
      <c r="H1098" s="16"/>
    </row>
    <row r="1099" spans="7:8" s="9" customFormat="1">
      <c r="G1099" s="16"/>
      <c r="H1099" s="16"/>
    </row>
    <row r="1100" spans="7:8" s="9" customFormat="1">
      <c r="G1100" s="16"/>
      <c r="H1100" s="16"/>
    </row>
    <row r="1101" spans="7:8" s="9" customFormat="1">
      <c r="G1101" s="16"/>
      <c r="H1101" s="16"/>
    </row>
    <row r="1102" spans="7:8" s="9" customFormat="1">
      <c r="G1102" s="16"/>
      <c r="H1102" s="16"/>
    </row>
    <row r="1103" spans="7:8" s="9" customFormat="1">
      <c r="G1103" s="16"/>
      <c r="H1103" s="16"/>
    </row>
    <row r="1104" spans="7:8" s="9" customFormat="1">
      <c r="G1104" s="16"/>
      <c r="H1104" s="16"/>
    </row>
    <row r="1105" spans="7:8" s="9" customFormat="1">
      <c r="G1105" s="16"/>
      <c r="H1105" s="16"/>
    </row>
    <row r="1106" spans="7:8" s="9" customFormat="1">
      <c r="G1106" s="16"/>
      <c r="H1106" s="16"/>
    </row>
    <row r="1107" spans="7:8" s="9" customFormat="1">
      <c r="G1107" s="16"/>
      <c r="H1107" s="16"/>
    </row>
    <row r="1108" spans="7:8" s="9" customFormat="1">
      <c r="G1108" s="16"/>
      <c r="H1108" s="16"/>
    </row>
    <row r="1109" spans="7:8" s="9" customFormat="1">
      <c r="G1109" s="16"/>
      <c r="H1109" s="16"/>
    </row>
    <row r="1110" spans="7:8" s="9" customFormat="1">
      <c r="G1110" s="16"/>
      <c r="H1110" s="16"/>
    </row>
    <row r="1111" spans="7:8" s="9" customFormat="1">
      <c r="G1111" s="16"/>
      <c r="H1111" s="16"/>
    </row>
    <row r="1112" spans="7:8" s="9" customFormat="1">
      <c r="G1112" s="16"/>
      <c r="H1112" s="16"/>
    </row>
    <row r="1113" spans="7:8" s="9" customFormat="1">
      <c r="G1113" s="16"/>
      <c r="H1113" s="16"/>
    </row>
    <row r="1114" spans="7:8" s="9" customFormat="1">
      <c r="G1114" s="16"/>
      <c r="H1114" s="16"/>
    </row>
    <row r="1115" spans="7:8" s="9" customFormat="1">
      <c r="G1115" s="16"/>
      <c r="H1115" s="16"/>
    </row>
    <row r="1116" spans="7:8" s="9" customFormat="1">
      <c r="G1116" s="16"/>
      <c r="H1116" s="16"/>
    </row>
    <row r="1117" spans="7:8" s="9" customFormat="1">
      <c r="G1117" s="16"/>
      <c r="H1117" s="16"/>
    </row>
    <row r="1118" spans="7:8" s="9" customFormat="1">
      <c r="G1118" s="16"/>
      <c r="H1118" s="16"/>
    </row>
    <row r="1119" spans="7:8" s="9" customFormat="1">
      <c r="G1119" s="16"/>
      <c r="H1119" s="16"/>
    </row>
    <row r="1120" spans="7:8" s="9" customFormat="1">
      <c r="G1120" s="16"/>
      <c r="H1120" s="16"/>
    </row>
    <row r="1121" spans="7:8" s="9" customFormat="1">
      <c r="G1121" s="16"/>
      <c r="H1121" s="16"/>
    </row>
    <row r="1122" spans="7:8" s="9" customFormat="1">
      <c r="G1122" s="16"/>
      <c r="H1122" s="16"/>
    </row>
    <row r="1123" spans="7:8" s="9" customFormat="1">
      <c r="G1123" s="16"/>
      <c r="H1123" s="16"/>
    </row>
    <row r="1124" spans="7:8" s="9" customFormat="1">
      <c r="G1124" s="16"/>
      <c r="H1124" s="16"/>
    </row>
    <row r="1125" spans="7:8" s="9" customFormat="1">
      <c r="G1125" s="16"/>
      <c r="H1125" s="16"/>
    </row>
    <row r="1126" spans="7:8" s="9" customFormat="1">
      <c r="G1126" s="16"/>
      <c r="H1126" s="16"/>
    </row>
    <row r="1127" spans="7:8" s="9" customFormat="1">
      <c r="G1127" s="16"/>
      <c r="H1127" s="16"/>
    </row>
    <row r="1128" spans="7:8" s="9" customFormat="1">
      <c r="G1128" s="16"/>
      <c r="H1128" s="16"/>
    </row>
    <row r="1129" spans="7:8" s="9" customFormat="1">
      <c r="G1129" s="16"/>
      <c r="H1129" s="16"/>
    </row>
    <row r="1130" spans="7:8" s="9" customFormat="1">
      <c r="G1130" s="16"/>
      <c r="H1130" s="16"/>
    </row>
    <row r="1131" spans="7:8" s="9" customFormat="1">
      <c r="G1131" s="16"/>
      <c r="H1131" s="16"/>
    </row>
    <row r="1132" spans="7:8" s="9" customFormat="1">
      <c r="G1132" s="16"/>
      <c r="H1132" s="16"/>
    </row>
    <row r="1133" spans="7:8" s="9" customFormat="1">
      <c r="G1133" s="16"/>
      <c r="H1133" s="16"/>
    </row>
    <row r="1134" spans="7:8" s="9" customFormat="1">
      <c r="G1134" s="16"/>
      <c r="H1134" s="16"/>
    </row>
    <row r="1135" spans="7:8" s="9" customFormat="1">
      <c r="G1135" s="16"/>
      <c r="H1135" s="16"/>
    </row>
    <row r="1136" spans="7:8" s="9" customFormat="1">
      <c r="G1136" s="16"/>
      <c r="H1136" s="16"/>
    </row>
    <row r="1137" spans="7:8" s="9" customFormat="1">
      <c r="G1137" s="16"/>
      <c r="H1137" s="16"/>
    </row>
    <row r="1138" spans="7:8" s="9" customFormat="1">
      <c r="G1138" s="16"/>
      <c r="H1138" s="16"/>
    </row>
    <row r="1139" spans="7:8" s="9" customFormat="1">
      <c r="G1139" s="16"/>
      <c r="H1139" s="16"/>
    </row>
    <row r="1140" spans="7:8" s="9" customFormat="1">
      <c r="G1140" s="16"/>
      <c r="H1140" s="16"/>
    </row>
    <row r="1141" spans="7:8" s="9" customFormat="1">
      <c r="G1141" s="16"/>
      <c r="H1141" s="16"/>
    </row>
    <row r="1142" spans="7:8" s="9" customFormat="1">
      <c r="G1142" s="16"/>
      <c r="H1142" s="16"/>
    </row>
    <row r="1143" spans="7:8" s="9" customFormat="1">
      <c r="G1143" s="16"/>
      <c r="H1143" s="16"/>
    </row>
    <row r="1144" spans="7:8" s="9" customFormat="1">
      <c r="G1144" s="16"/>
      <c r="H1144" s="16"/>
    </row>
    <row r="1145" spans="7:8" s="9" customFormat="1">
      <c r="G1145" s="16"/>
      <c r="H1145" s="16"/>
    </row>
    <row r="1146" spans="7:8" s="9" customFormat="1">
      <c r="G1146" s="16"/>
      <c r="H1146" s="16"/>
    </row>
    <row r="1147" spans="7:8" s="9" customFormat="1">
      <c r="G1147" s="16"/>
      <c r="H1147" s="16"/>
    </row>
    <row r="1148" spans="7:8" s="9" customFormat="1">
      <c r="G1148" s="16"/>
      <c r="H1148" s="16"/>
    </row>
    <row r="1149" spans="7:8" s="9" customFormat="1">
      <c r="G1149" s="16"/>
      <c r="H1149" s="16"/>
    </row>
    <row r="1150" spans="7:8" s="9" customFormat="1">
      <c r="G1150" s="16"/>
      <c r="H1150" s="16"/>
    </row>
    <row r="1151" spans="7:8" s="9" customFormat="1">
      <c r="G1151" s="16"/>
      <c r="H1151" s="16"/>
    </row>
    <row r="1152" spans="7:8" s="9" customFormat="1">
      <c r="G1152" s="16"/>
      <c r="H1152" s="16"/>
    </row>
    <row r="1153" spans="7:8" s="9" customFormat="1">
      <c r="G1153" s="16"/>
      <c r="H1153" s="16"/>
    </row>
    <row r="1154" spans="7:8" s="9" customFormat="1">
      <c r="G1154" s="16"/>
      <c r="H1154" s="16"/>
    </row>
    <row r="1155" spans="7:8" s="9" customFormat="1">
      <c r="G1155" s="16"/>
      <c r="H1155" s="16"/>
    </row>
    <row r="1156" spans="7:8" s="9" customFormat="1">
      <c r="G1156" s="16"/>
      <c r="H1156" s="16"/>
    </row>
    <row r="1157" spans="7:8" s="9" customFormat="1">
      <c r="G1157" s="16"/>
      <c r="H1157" s="16"/>
    </row>
    <row r="1158" spans="7:8" s="9" customFormat="1">
      <c r="G1158" s="16"/>
      <c r="H1158" s="16"/>
    </row>
    <row r="1159" spans="7:8" s="9" customFormat="1">
      <c r="G1159" s="16"/>
      <c r="H1159" s="16"/>
    </row>
    <row r="1160" spans="7:8" s="9" customFormat="1">
      <c r="G1160" s="16"/>
      <c r="H1160" s="16"/>
    </row>
    <row r="1161" spans="7:8" s="9" customFormat="1">
      <c r="G1161" s="16"/>
      <c r="H1161" s="16"/>
    </row>
    <row r="1162" spans="7:8" s="9" customFormat="1">
      <c r="G1162" s="16"/>
      <c r="H1162" s="16"/>
    </row>
    <row r="1163" spans="7:8" s="9" customFormat="1">
      <c r="G1163" s="16"/>
      <c r="H1163" s="16"/>
    </row>
    <row r="1164" spans="7:8" s="9" customFormat="1">
      <c r="G1164" s="16"/>
      <c r="H1164" s="16"/>
    </row>
    <row r="1165" spans="7:8" s="9" customFormat="1">
      <c r="G1165" s="16"/>
      <c r="H1165" s="16"/>
    </row>
    <row r="1166" spans="7:8" s="9" customFormat="1">
      <c r="G1166" s="16"/>
      <c r="H1166" s="16"/>
    </row>
    <row r="1167" spans="7:8" s="9" customFormat="1">
      <c r="G1167" s="16"/>
      <c r="H1167" s="16"/>
    </row>
    <row r="1168" spans="7:8" s="9" customFormat="1">
      <c r="G1168" s="16"/>
      <c r="H1168" s="16"/>
    </row>
    <row r="1169" spans="6:20" s="9" customFormat="1">
      <c r="G1169" s="16"/>
      <c r="H1169" s="16"/>
    </row>
    <row r="1170" spans="6:20" s="9" customFormat="1">
      <c r="G1170" s="16"/>
      <c r="H1170" s="16"/>
    </row>
    <row r="1171" spans="6:20" s="9" customFormat="1">
      <c r="G1171" s="16"/>
      <c r="H1171" s="16"/>
    </row>
    <row r="1172" spans="6:20" s="9" customFormat="1">
      <c r="G1172" s="16"/>
      <c r="H1172" s="16"/>
    </row>
    <row r="1173" spans="6:20" s="9" customFormat="1">
      <c r="G1173" s="16"/>
      <c r="H1173" s="16"/>
    </row>
    <row r="1174" spans="6:20" s="9" customFormat="1">
      <c r="G1174" s="16"/>
      <c r="H1174" s="16"/>
    </row>
    <row r="1175" spans="6:20" s="9" customFormat="1">
      <c r="G1175" s="16"/>
      <c r="H1175" s="16"/>
    </row>
    <row r="1176" spans="6:20" s="9" customFormat="1">
      <c r="G1176" s="16"/>
      <c r="H1176" s="16"/>
    </row>
    <row r="1177" spans="6:20" s="9" customFormat="1">
      <c r="G1177" s="16"/>
      <c r="H1177" s="16"/>
    </row>
    <row r="1178" spans="6:20" s="9" customFormat="1">
      <c r="G1178" s="16"/>
      <c r="H1178" s="16"/>
    </row>
    <row r="1179" spans="6:20" s="9" customFormat="1">
      <c r="G1179" s="16"/>
      <c r="H1179" s="16"/>
    </row>
    <row r="1180" spans="6:20" s="9" customFormat="1">
      <c r="G1180" s="16"/>
      <c r="H1180" s="16"/>
    </row>
    <row r="1181" spans="6:20" s="9" customFormat="1">
      <c r="G1181" s="16"/>
      <c r="H1181" s="16"/>
    </row>
    <row r="1182" spans="6:20" s="9" customFormat="1">
      <c r="G1182" s="16"/>
      <c r="H1182" s="16"/>
    </row>
    <row r="1183" spans="6:20" s="9" customFormat="1">
      <c r="F1183" s="16"/>
      <c r="G1183" s="16"/>
      <c r="H1183" s="16"/>
      <c r="O1183" s="46"/>
      <c r="P1183" s="42"/>
      <c r="Q1183" s="42"/>
      <c r="R1183" s="50"/>
      <c r="S1183" s="42"/>
      <c r="T1183" s="42"/>
    </row>
    <row r="1184" spans="6:20" s="9" customFormat="1">
      <c r="F1184" s="16"/>
      <c r="G1184" s="16"/>
      <c r="H1184" s="16"/>
      <c r="O1184" s="46"/>
      <c r="P1184" s="42"/>
      <c r="Q1184" s="42"/>
      <c r="R1184" s="50"/>
      <c r="S1184" s="42"/>
      <c r="T1184" s="42"/>
    </row>
    <row r="1185" spans="6:20" s="9" customFormat="1">
      <c r="F1185" s="16"/>
      <c r="G1185" s="16"/>
      <c r="H1185" s="16"/>
      <c r="O1185" s="46"/>
      <c r="P1185" s="42"/>
      <c r="Q1185" s="42"/>
      <c r="R1185" s="50"/>
      <c r="S1185" s="42"/>
      <c r="T1185" s="42"/>
    </row>
    <row r="1186" spans="6:20" s="9" customFormat="1">
      <c r="F1186" s="16"/>
      <c r="G1186" s="16"/>
      <c r="H1186" s="16"/>
      <c r="O1186" s="46"/>
      <c r="P1186" s="42"/>
      <c r="Q1186" s="42"/>
      <c r="R1186" s="50"/>
      <c r="S1186" s="42"/>
      <c r="T1186" s="42"/>
    </row>
    <row r="1187" spans="6:20" s="9" customFormat="1">
      <c r="F1187" s="16"/>
      <c r="G1187" s="16"/>
      <c r="H1187" s="16"/>
      <c r="O1187" s="46"/>
      <c r="P1187" s="42"/>
      <c r="Q1187" s="42"/>
      <c r="R1187" s="50"/>
      <c r="S1187" s="42"/>
      <c r="T1187" s="42"/>
    </row>
    <row r="1188" spans="6:20" s="9" customFormat="1">
      <c r="F1188" s="16"/>
      <c r="G1188" s="16"/>
      <c r="H1188" s="16"/>
      <c r="O1188" s="46"/>
      <c r="P1188" s="42"/>
      <c r="Q1188" s="42"/>
      <c r="R1188" s="50"/>
      <c r="S1188" s="42"/>
      <c r="T1188" s="42"/>
    </row>
    <row r="1189" spans="6:20" s="9" customFormat="1">
      <c r="F1189" s="16"/>
      <c r="G1189" s="16"/>
      <c r="H1189" s="16"/>
      <c r="O1189" s="46"/>
      <c r="P1189" s="42"/>
      <c r="Q1189" s="42"/>
      <c r="R1189" s="50"/>
      <c r="S1189" s="42"/>
      <c r="T1189" s="42"/>
    </row>
    <row r="1190" spans="6:20" s="9" customFormat="1">
      <c r="F1190" s="16"/>
      <c r="G1190" s="16"/>
      <c r="H1190" s="16"/>
      <c r="O1190" s="46"/>
      <c r="P1190" s="42"/>
      <c r="Q1190" s="42"/>
      <c r="R1190" s="50"/>
      <c r="S1190" s="42"/>
      <c r="T1190" s="42"/>
    </row>
    <row r="1191" spans="6:20" s="9" customFormat="1">
      <c r="F1191" s="16"/>
      <c r="G1191" s="16"/>
      <c r="H1191" s="16"/>
      <c r="O1191" s="46"/>
      <c r="P1191" s="42"/>
      <c r="Q1191" s="42"/>
      <c r="R1191" s="50"/>
      <c r="S1191" s="42"/>
      <c r="T1191" s="42"/>
    </row>
    <row r="1192" spans="6:20" s="9" customFormat="1">
      <c r="F1192" s="16"/>
      <c r="G1192" s="16"/>
      <c r="H1192" s="16"/>
      <c r="O1192" s="46"/>
      <c r="P1192" s="42"/>
      <c r="Q1192" s="42"/>
      <c r="R1192" s="50"/>
      <c r="S1192" s="42"/>
      <c r="T1192" s="42"/>
    </row>
    <row r="1193" spans="6:20" s="9" customFormat="1">
      <c r="F1193" s="16"/>
      <c r="G1193" s="16"/>
      <c r="H1193" s="16"/>
      <c r="O1193" s="46"/>
      <c r="P1193" s="42"/>
      <c r="Q1193" s="42"/>
      <c r="R1193" s="50"/>
      <c r="S1193" s="42"/>
      <c r="T1193" s="42"/>
    </row>
    <row r="1194" spans="6:20" s="9" customFormat="1">
      <c r="F1194" s="16"/>
      <c r="G1194" s="16"/>
      <c r="H1194" s="16"/>
      <c r="O1194" s="46"/>
      <c r="P1194" s="42"/>
      <c r="Q1194" s="42"/>
      <c r="R1194" s="50"/>
      <c r="S1194" s="42"/>
      <c r="T1194" s="42"/>
    </row>
    <row r="1195" spans="6:20" s="9" customFormat="1">
      <c r="F1195" s="16"/>
      <c r="G1195" s="16"/>
      <c r="H1195" s="16"/>
      <c r="O1195" s="46"/>
      <c r="P1195" s="42"/>
      <c r="Q1195" s="42"/>
      <c r="R1195" s="50"/>
      <c r="S1195" s="42"/>
      <c r="T1195" s="42"/>
    </row>
    <row r="1196" spans="6:20" s="9" customFormat="1">
      <c r="F1196" s="16"/>
      <c r="G1196" s="16"/>
      <c r="H1196" s="16"/>
      <c r="O1196" s="46"/>
      <c r="P1196" s="42"/>
      <c r="Q1196" s="42"/>
      <c r="R1196" s="50"/>
      <c r="S1196" s="42"/>
      <c r="T1196" s="42"/>
    </row>
    <row r="1197" spans="6:20" s="9" customFormat="1">
      <c r="F1197" s="16"/>
      <c r="G1197" s="16"/>
      <c r="H1197" s="16"/>
      <c r="O1197" s="46"/>
      <c r="P1197" s="42"/>
      <c r="Q1197" s="42"/>
      <c r="R1197" s="50"/>
      <c r="S1197" s="42"/>
      <c r="T1197" s="42"/>
    </row>
    <row r="1198" spans="6:20" s="9" customFormat="1">
      <c r="F1198" s="16"/>
      <c r="G1198" s="16"/>
      <c r="H1198" s="16"/>
      <c r="O1198" s="46"/>
      <c r="P1198" s="42"/>
      <c r="Q1198" s="42"/>
      <c r="R1198" s="50"/>
      <c r="S1198" s="42"/>
      <c r="T1198" s="42"/>
    </row>
    <row r="1199" spans="6:20" s="9" customFormat="1">
      <c r="F1199" s="16"/>
      <c r="G1199" s="16"/>
      <c r="H1199" s="16"/>
      <c r="O1199" s="46"/>
      <c r="P1199" s="42"/>
      <c r="Q1199" s="42"/>
      <c r="R1199" s="50"/>
      <c r="S1199" s="42"/>
      <c r="T1199" s="42"/>
    </row>
    <row r="1200" spans="6:20" s="9" customFormat="1">
      <c r="F1200" s="16"/>
      <c r="G1200" s="16"/>
      <c r="H1200" s="16"/>
      <c r="O1200" s="46"/>
      <c r="P1200" s="42"/>
      <c r="Q1200" s="42"/>
      <c r="R1200" s="50"/>
      <c r="S1200" s="42"/>
      <c r="T1200" s="42"/>
    </row>
    <row r="1201" spans="6:20" s="9" customFormat="1">
      <c r="F1201" s="16"/>
      <c r="G1201" s="16"/>
      <c r="H1201" s="16"/>
      <c r="O1201" s="46"/>
      <c r="P1201" s="42"/>
      <c r="Q1201" s="42"/>
      <c r="R1201" s="50"/>
      <c r="S1201" s="42"/>
      <c r="T1201" s="42"/>
    </row>
    <row r="1202" spans="6:20" s="9" customFormat="1">
      <c r="F1202" s="16"/>
      <c r="G1202" s="16"/>
      <c r="H1202" s="16"/>
      <c r="O1202" s="46"/>
      <c r="P1202" s="42"/>
      <c r="Q1202" s="42"/>
      <c r="R1202" s="50"/>
      <c r="S1202" s="42"/>
      <c r="T1202" s="42"/>
    </row>
    <row r="1203" spans="6:20" s="9" customFormat="1">
      <c r="F1203" s="16"/>
      <c r="G1203" s="16"/>
      <c r="H1203" s="16"/>
      <c r="O1203" s="46"/>
      <c r="P1203" s="42"/>
      <c r="Q1203" s="42"/>
      <c r="R1203" s="50"/>
      <c r="S1203" s="42"/>
      <c r="T1203" s="42"/>
    </row>
    <row r="1204" spans="6:20" s="9" customFormat="1">
      <c r="F1204" s="16"/>
      <c r="G1204" s="16"/>
      <c r="H1204" s="16"/>
      <c r="O1204" s="46"/>
      <c r="P1204" s="42"/>
      <c r="Q1204" s="42"/>
      <c r="R1204" s="50"/>
      <c r="S1204" s="42"/>
      <c r="T1204" s="42"/>
    </row>
    <row r="1205" spans="6:20" s="9" customFormat="1">
      <c r="F1205" s="16"/>
      <c r="G1205" s="16"/>
      <c r="H1205" s="16"/>
      <c r="O1205" s="46"/>
      <c r="P1205" s="42"/>
      <c r="Q1205" s="42"/>
      <c r="R1205" s="50"/>
      <c r="S1205" s="42"/>
      <c r="T1205" s="42"/>
    </row>
    <row r="1206" spans="6:20" s="9" customFormat="1">
      <c r="F1206" s="16"/>
      <c r="G1206" s="16"/>
      <c r="H1206" s="16"/>
      <c r="O1206" s="46"/>
      <c r="P1206" s="42"/>
      <c r="Q1206" s="42"/>
      <c r="R1206" s="50"/>
      <c r="S1206" s="42"/>
      <c r="T1206" s="42"/>
    </row>
    <row r="1207" spans="6:20" s="9" customFormat="1">
      <c r="F1207" s="16"/>
      <c r="G1207" s="16"/>
      <c r="H1207" s="16"/>
      <c r="O1207" s="46"/>
      <c r="P1207" s="42"/>
      <c r="Q1207" s="42"/>
      <c r="R1207" s="50"/>
      <c r="S1207" s="42"/>
      <c r="T1207" s="42"/>
    </row>
    <row r="1208" spans="6:20" s="9" customFormat="1">
      <c r="F1208" s="16"/>
      <c r="G1208" s="16"/>
      <c r="H1208" s="16"/>
      <c r="O1208" s="46"/>
      <c r="P1208" s="42"/>
      <c r="Q1208" s="42"/>
      <c r="R1208" s="50"/>
      <c r="S1208" s="42"/>
      <c r="T1208" s="42"/>
    </row>
    <row r="1209" spans="6:20" s="9" customFormat="1">
      <c r="F1209" s="16"/>
      <c r="G1209" s="16"/>
      <c r="H1209" s="16"/>
      <c r="O1209" s="46"/>
      <c r="P1209" s="42"/>
      <c r="Q1209" s="42"/>
      <c r="R1209" s="50"/>
      <c r="S1209" s="42"/>
      <c r="T1209" s="42"/>
    </row>
    <row r="1210" spans="6:20" s="9" customFormat="1">
      <c r="F1210" s="16"/>
      <c r="G1210" s="16"/>
      <c r="H1210" s="16"/>
      <c r="O1210" s="46"/>
      <c r="P1210" s="42"/>
      <c r="Q1210" s="42"/>
      <c r="R1210" s="50"/>
      <c r="S1210" s="42"/>
      <c r="T1210" s="42"/>
    </row>
    <row r="1211" spans="6:20" s="9" customFormat="1">
      <c r="F1211" s="16"/>
      <c r="G1211" s="16"/>
      <c r="H1211" s="16"/>
      <c r="O1211" s="46"/>
      <c r="P1211" s="42"/>
      <c r="Q1211" s="42"/>
      <c r="R1211" s="50"/>
      <c r="S1211" s="42"/>
      <c r="T1211" s="42"/>
    </row>
    <row r="1212" spans="6:20">
      <c r="F1212" s="16"/>
      <c r="G1212" s="16"/>
      <c r="H1212" s="16"/>
      <c r="I1212" s="9"/>
      <c r="J1212" s="9"/>
      <c r="K1212" s="9"/>
      <c r="L1212" s="9"/>
      <c r="M1212" s="9"/>
      <c r="N1212" s="9"/>
      <c r="O1212" s="46"/>
      <c r="P1212" s="42"/>
      <c r="Q1212" s="42"/>
      <c r="R1212" s="50"/>
      <c r="S1212" s="42"/>
      <c r="T1212" s="42"/>
    </row>
    <row r="1213" spans="6:20">
      <c r="F1213" s="16"/>
      <c r="G1213" s="16"/>
      <c r="H1213" s="16"/>
      <c r="I1213" s="9"/>
      <c r="J1213" s="9"/>
      <c r="K1213" s="9"/>
      <c r="L1213" s="9"/>
      <c r="M1213" s="9"/>
      <c r="N1213" s="9"/>
      <c r="O1213" s="46"/>
      <c r="P1213" s="42"/>
      <c r="Q1213" s="42"/>
      <c r="R1213" s="50"/>
      <c r="S1213" s="42"/>
      <c r="T1213" s="42"/>
    </row>
    <row r="1390" spans="324:324">
      <c r="LL1390" s="282"/>
    </row>
  </sheetData>
  <sheetProtection algorithmName="SHA-512" hashValue="SF7w3RmoJZa9SexaxJjRFEeRzUwnl1VCebSBpAVkS8jiuLmLXT5nnzpefS60hUO9A1gRPOiyI4B0G/fnIyY6iQ==" saltValue="TYsGnOXk/vvkVEu+foKhWg==" spinCount="100000" sheet="1" formatCells="0" formatColumns="0" formatRows="0" insertHyperlinks="0" sort="0" autoFilter="0"/>
  <sortState xmlns:xlrd2="http://schemas.microsoft.com/office/spreadsheetml/2017/richdata2" ref="DU2:DU7">
    <sortCondition ref="DU2"/>
  </sortState>
  <mergeCells count="16">
    <mergeCell ref="H39:K39"/>
    <mergeCell ref="K41:K42"/>
    <mergeCell ref="W3:AG3"/>
    <mergeCell ref="D7:D8"/>
    <mergeCell ref="O3:T3"/>
    <mergeCell ref="F7:F9"/>
    <mergeCell ref="F11:F12"/>
    <mergeCell ref="V5:AG50"/>
    <mergeCell ref="D21:D27"/>
    <mergeCell ref="C2:I2"/>
    <mergeCell ref="K3:K4"/>
    <mergeCell ref="H15:I15"/>
    <mergeCell ref="J15:K15"/>
    <mergeCell ref="D10:D11"/>
    <mergeCell ref="D13:D19"/>
    <mergeCell ref="K19:K20"/>
  </mergeCells>
  <phoneticPr fontId="3" type="noConversion"/>
  <conditionalFormatting sqref="K37">
    <cfRule type="cellIs" dxfId="40" priority="7" operator="lessThan">
      <formula>0</formula>
    </cfRule>
    <cfRule type="cellIs" dxfId="39" priority="10" operator="equal">
      <formula>0</formula>
    </cfRule>
  </conditionalFormatting>
  <conditionalFormatting sqref="J37">
    <cfRule type="cellIs" dxfId="38" priority="8" operator="lessThan">
      <formula>0</formula>
    </cfRule>
    <cfRule type="cellIs" dxfId="37" priority="9" operator="equal">
      <formula>0</formula>
    </cfRule>
  </conditionalFormatting>
  <conditionalFormatting sqref="K40">
    <cfRule type="cellIs" dxfId="36" priority="5" operator="greaterThan">
      <formula>0</formula>
    </cfRule>
    <cfRule type="cellIs" dxfId="35" priority="6" operator="lessThan">
      <formula>0</formula>
    </cfRule>
  </conditionalFormatting>
  <conditionalFormatting sqref="L25:L34">
    <cfRule type="iconSet" priority="1">
      <iconSet iconSet="3ArrowsGray">
        <cfvo type="percent" val="0"/>
        <cfvo type="percent" val="33"/>
        <cfvo type="percent" val="67"/>
      </iconSet>
    </cfRule>
  </conditionalFormatting>
  <dataValidations count="7">
    <dataValidation type="list" allowBlank="1" showInputMessage="1" showErrorMessage="1" sqref="Q149:Q65382 Q4" xr:uid="{00000000-0002-0000-0000-000000000000}">
      <formula1>$AT$4:$AT$5</formula1>
    </dataValidation>
    <dataValidation type="list" allowBlank="1" showInputMessage="1" showErrorMessage="1" sqref="P4 P54:P65382" xr:uid="{00000000-0002-0000-0000-000001000000}">
      <formula1>$DU$2:$DU$5</formula1>
    </dataValidation>
    <dataValidation type="list" allowBlank="1" showInputMessage="1" showErrorMessage="1" sqref="R54:R101" xr:uid="{00000000-0002-0000-0000-000002000000}">
      <formula1>$G$6:$G$23</formula1>
    </dataValidation>
    <dataValidation type="list" allowBlank="1" showInputMessage="1" showErrorMessage="1" sqref="S6:S30" xr:uid="{00000000-0002-0000-0000-000003000000}">
      <formula1>$I$9:$I$34</formula1>
    </dataValidation>
    <dataValidation type="list" allowBlank="1" showInputMessage="1" showErrorMessage="1" sqref="T6:T52" xr:uid="{00000000-0002-0000-0000-000004000000}">
      <formula1>$DU$2:$DU$11</formula1>
    </dataValidation>
    <dataValidation type="list" allowBlank="1" showInputMessage="1" showErrorMessage="1" sqref="S34:S52" xr:uid="{00000000-0002-0000-0000-000005000000}">
      <formula1>$I$20:$I$34</formula1>
    </dataValidation>
    <dataValidation type="list" allowBlank="1" showInputMessage="1" showErrorMessage="1" sqref="S31:S33" xr:uid="{00000000-0002-0000-0000-000006000000}">
      <formula1>$DV$2:$DV$20</formula1>
    </dataValidation>
  </dataValidations>
  <pageMargins left="0.75" right="0.75" top="0.75" bottom="0.75" header="0.3" footer="0.3"/>
  <pageSetup orientation="portrait" horizontalDpi="4294967295" verticalDpi="429496729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338"/>
  <sheetViews>
    <sheetView zoomScale="50" zoomScaleNormal="50" zoomScalePageLayoutView="40" workbookViewId="0"/>
  </sheetViews>
  <sheetFormatPr defaultColWidth="7.5" defaultRowHeight="20.25"/>
  <cols>
    <col min="1" max="1" width="1.875" style="9" customWidth="1"/>
    <col min="2" max="2" width="6.625" style="9" customWidth="1"/>
    <col min="3" max="3" width="18.125" style="9" customWidth="1"/>
    <col min="4" max="4" width="56" style="9" customWidth="1"/>
    <col min="5" max="5" width="8" style="1" customWidth="1"/>
    <col min="6" max="7" width="5.375" style="1" customWidth="1"/>
    <col min="8" max="8" width="5.625" style="1" customWidth="1"/>
    <col min="9" max="9" width="32" style="3" customWidth="1"/>
    <col min="10" max="10" width="34.875" style="3" customWidth="1"/>
    <col min="11" max="11" width="51.125" style="3" customWidth="1"/>
    <col min="12" max="12" width="9.125" style="2" customWidth="1"/>
    <col min="13" max="13" width="43.375" style="2" customWidth="1"/>
    <col min="14" max="14" width="9.125" style="2" customWidth="1"/>
    <col min="15" max="15" width="9.875"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16384" width="7.5" style="9"/>
  </cols>
  <sheetData>
    <row r="1" spans="1:22" ht="27" customHeight="1">
      <c r="A1" s="170"/>
      <c r="B1" s="170"/>
      <c r="C1" s="170"/>
      <c r="D1" s="283">
        <f>'Juan''s Budget'!LL1390</f>
        <v>0</v>
      </c>
      <c r="E1" s="171"/>
      <c r="F1" s="171"/>
      <c r="G1" s="171"/>
      <c r="H1" s="171"/>
      <c r="I1" s="170"/>
      <c r="J1" s="170"/>
      <c r="K1" s="170"/>
      <c r="L1" s="170"/>
      <c r="M1" s="170"/>
      <c r="N1" s="170"/>
      <c r="O1" s="172"/>
      <c r="P1" s="173"/>
      <c r="Q1" s="173"/>
      <c r="R1" s="174"/>
      <c r="S1" s="173"/>
      <c r="T1" s="173"/>
      <c r="U1" s="173"/>
      <c r="V1" s="173"/>
    </row>
    <row r="2" spans="1:22" ht="31.15" customHeight="1">
      <c r="A2" s="170"/>
      <c r="B2" s="175"/>
      <c r="C2" s="175"/>
      <c r="D2" s="176"/>
      <c r="E2" s="176"/>
      <c r="F2" s="176"/>
      <c r="G2" s="176"/>
      <c r="H2" s="176"/>
      <c r="I2" s="176"/>
      <c r="J2" s="176"/>
      <c r="K2" s="176"/>
      <c r="L2" s="176"/>
      <c r="M2" s="176"/>
      <c r="N2" s="176"/>
      <c r="O2" s="176"/>
      <c r="P2" s="176"/>
      <c r="Q2" s="176"/>
      <c r="R2" s="176"/>
      <c r="S2" s="176"/>
      <c r="T2" s="176"/>
      <c r="U2" s="177"/>
      <c r="V2" s="170"/>
    </row>
    <row r="3" spans="1:22" ht="31.15" customHeight="1" thickBot="1">
      <c r="A3" s="170"/>
      <c r="B3" s="175"/>
      <c r="C3" s="397" t="s">
        <v>117</v>
      </c>
      <c r="D3" s="402" t="s">
        <v>116</v>
      </c>
      <c r="E3" s="176"/>
      <c r="F3" s="176"/>
      <c r="G3" s="176"/>
      <c r="H3" s="178"/>
      <c r="I3" s="178"/>
      <c r="J3" s="179"/>
      <c r="K3" s="389" t="s">
        <v>94</v>
      </c>
      <c r="L3" s="180" t="s">
        <v>49</v>
      </c>
      <c r="M3" s="176"/>
      <c r="N3" s="176"/>
      <c r="O3" s="386" t="s">
        <v>128</v>
      </c>
      <c r="P3" s="387"/>
      <c r="Q3" s="387"/>
      <c r="R3" s="387"/>
      <c r="S3" s="387"/>
      <c r="T3" s="388"/>
      <c r="U3" s="177"/>
      <c r="V3" s="170"/>
    </row>
    <row r="4" spans="1:22" ht="31.15" customHeight="1" thickTop="1">
      <c r="A4" s="170"/>
      <c r="B4" s="175"/>
      <c r="C4" s="398"/>
      <c r="D4" s="403"/>
      <c r="E4" s="176"/>
      <c r="F4" s="176"/>
      <c r="G4" s="176"/>
      <c r="H4" s="181" t="s">
        <v>93</v>
      </c>
      <c r="I4" s="182"/>
      <c r="J4" s="183" t="s">
        <v>30</v>
      </c>
      <c r="K4" s="390"/>
      <c r="L4" s="175"/>
      <c r="M4" s="176"/>
      <c r="N4" s="176"/>
      <c r="O4" s="184"/>
      <c r="P4" s="185"/>
      <c r="Q4" s="185"/>
      <c r="R4" s="186"/>
      <c r="S4" s="185"/>
      <c r="T4" s="185"/>
      <c r="U4" s="175"/>
      <c r="V4" s="170"/>
    </row>
    <row r="5" spans="1:22" ht="31.15" customHeight="1">
      <c r="A5" s="170"/>
      <c r="B5" s="175"/>
      <c r="C5" s="398"/>
      <c r="D5" s="404">
        <f>COUNTIF(K5:K7,"Correct")+COUNTIF(K9:K14,"Correct")+COUNTIF(K16,"Correct")+COUNTIF(J22:K22,"Correct")+COUNTIF(K21,"Correct")+COUNTIF(J25:J34,"Correct")+COUNTIF(O31:T33,"Correct")+COUNTIF(J37:K37,"Correct")</f>
        <v>3</v>
      </c>
      <c r="E5" s="176"/>
      <c r="F5" s="176"/>
      <c r="G5" s="176"/>
      <c r="H5" s="187"/>
      <c r="I5" s="278" t="s">
        <v>42</v>
      </c>
      <c r="J5" s="188"/>
      <c r="K5" s="189" t="str">
        <f>IF(ISBLANK('Juan''s Budget'!K5),"ERROR",IF('Juan''s Budget'!K5=1000,"Correct",IF('Juan''s Budget'!K5=500,"ERROR: Should be 2 Sem. Total","ERROR")))</f>
        <v>ERROR</v>
      </c>
      <c r="L5" s="190"/>
      <c r="M5" s="176"/>
      <c r="N5" s="176"/>
      <c r="O5" s="191" t="s">
        <v>9</v>
      </c>
      <c r="P5" s="192" t="s">
        <v>17</v>
      </c>
      <c r="Q5" s="192" t="s">
        <v>18</v>
      </c>
      <c r="R5" s="193" t="s">
        <v>16</v>
      </c>
      <c r="S5" s="192" t="s">
        <v>10</v>
      </c>
      <c r="T5" s="192" t="s">
        <v>19</v>
      </c>
      <c r="U5" s="175"/>
      <c r="V5" s="170"/>
    </row>
    <row r="6" spans="1:22" ht="31.15" customHeight="1" thickBot="1">
      <c r="A6" s="170"/>
      <c r="B6" s="175"/>
      <c r="C6" s="398"/>
      <c r="D6" s="405"/>
      <c r="E6" s="176"/>
      <c r="F6" s="176"/>
      <c r="G6" s="176"/>
      <c r="H6" s="194"/>
      <c r="I6" s="279" t="s">
        <v>79</v>
      </c>
      <c r="J6" s="195"/>
      <c r="K6" s="196" t="str">
        <f>IF(ISBLANK('Juan''s Budget'!K6),"ERROR",IF('Juan''s Budget'!K6=50,"Correct","ERROR"))</f>
        <v>ERROR</v>
      </c>
      <c r="L6" s="175"/>
      <c r="M6" s="176"/>
      <c r="N6" s="176"/>
      <c r="O6" s="197">
        <v>41276</v>
      </c>
      <c r="P6" s="198" t="s">
        <v>31</v>
      </c>
      <c r="Q6" s="199" t="s">
        <v>21</v>
      </c>
      <c r="R6" s="200">
        <v>150.78</v>
      </c>
      <c r="S6" s="201" t="s">
        <v>58</v>
      </c>
      <c r="T6" s="202" t="s">
        <v>38</v>
      </c>
      <c r="U6" s="187"/>
      <c r="V6" s="203"/>
    </row>
    <row r="7" spans="1:22" ht="31.15" customHeight="1" thickBot="1">
      <c r="A7" s="203"/>
      <c r="B7" s="187"/>
      <c r="C7" s="398"/>
      <c r="D7" s="291" t="s">
        <v>149</v>
      </c>
      <c r="E7" s="176"/>
      <c r="F7" s="176"/>
      <c r="G7" s="176"/>
      <c r="H7" s="204"/>
      <c r="I7" s="205"/>
      <c r="J7" s="206" t="s">
        <v>97</v>
      </c>
      <c r="K7" s="207" t="str">
        <f>IF(ISBLANK('Juan''s Budget'!K7),"ERROR",IF('Juan''s Budget'!K7=SUM('Juan''s Budget'!K5:K6),"Correct","ERROR"))</f>
        <v>Correct</v>
      </c>
      <c r="L7" s="187"/>
      <c r="M7" s="176"/>
      <c r="N7" s="176"/>
      <c r="O7" s="208">
        <v>41276</v>
      </c>
      <c r="P7" s="209" t="s">
        <v>20</v>
      </c>
      <c r="Q7" s="210" t="s">
        <v>22</v>
      </c>
      <c r="R7" s="211">
        <v>975</v>
      </c>
      <c r="S7" s="212" t="s">
        <v>29</v>
      </c>
      <c r="T7" s="213" t="s">
        <v>5</v>
      </c>
      <c r="U7" s="187"/>
      <c r="V7" s="203"/>
    </row>
    <row r="8" spans="1:22" ht="31.15" customHeight="1" thickTop="1">
      <c r="A8" s="203"/>
      <c r="B8" s="187"/>
      <c r="C8" s="187"/>
      <c r="D8" s="290"/>
      <c r="E8" s="176"/>
      <c r="F8" s="176"/>
      <c r="G8" s="176"/>
      <c r="H8" s="181" t="s">
        <v>91</v>
      </c>
      <c r="I8" s="182"/>
      <c r="J8" s="183" t="s">
        <v>30</v>
      </c>
      <c r="K8" s="214" t="s">
        <v>95</v>
      </c>
      <c r="L8" s="187"/>
      <c r="M8" s="176"/>
      <c r="N8" s="176"/>
      <c r="O8" s="208">
        <v>41276</v>
      </c>
      <c r="P8" s="215" t="s">
        <v>73</v>
      </c>
      <c r="Q8" s="210" t="s">
        <v>35</v>
      </c>
      <c r="R8" s="211">
        <v>2150</v>
      </c>
      <c r="S8" s="212" t="s">
        <v>33</v>
      </c>
      <c r="T8" s="213" t="s">
        <v>38</v>
      </c>
      <c r="U8" s="187"/>
      <c r="V8" s="203"/>
    </row>
    <row r="9" spans="1:22" ht="31.15" customHeight="1">
      <c r="A9" s="203"/>
      <c r="B9" s="292"/>
      <c r="C9" s="397" t="s">
        <v>147</v>
      </c>
      <c r="D9" s="406" t="s">
        <v>146</v>
      </c>
      <c r="E9" s="176"/>
      <c r="F9" s="176"/>
      <c r="G9" s="176"/>
      <c r="H9" s="216"/>
      <c r="I9" s="278" t="s">
        <v>29</v>
      </c>
      <c r="J9" s="188"/>
      <c r="K9" s="189" t="str">
        <f>IF(ISBLANK('Juan''s Budget'!K9),"ERROR",IF('Juan''s Budget'!K9=975*2,"Correct",IF('Juan''s Budget'!K9&lt;975+850,"ERROR","Caution: Did you mean to raise this amount?")))</f>
        <v>ERROR</v>
      </c>
      <c r="L9" s="190"/>
      <c r="M9" s="176"/>
      <c r="N9" s="176"/>
      <c r="O9" s="208">
        <v>41276</v>
      </c>
      <c r="P9" s="215" t="s">
        <v>69</v>
      </c>
      <c r="Q9" s="210" t="s">
        <v>23</v>
      </c>
      <c r="R9" s="211">
        <v>385.42</v>
      </c>
      <c r="S9" s="212" t="s">
        <v>24</v>
      </c>
      <c r="T9" s="213" t="s">
        <v>12</v>
      </c>
      <c r="U9" s="187"/>
      <c r="V9" s="203"/>
    </row>
    <row r="10" spans="1:22" ht="31.15" customHeight="1">
      <c r="A10" s="203"/>
      <c r="B10" s="292"/>
      <c r="C10" s="398"/>
      <c r="D10" s="407"/>
      <c r="E10" s="176"/>
      <c r="F10" s="176"/>
      <c r="G10" s="176"/>
      <c r="H10" s="216"/>
      <c r="I10" s="278" t="s">
        <v>33</v>
      </c>
      <c r="J10" s="188"/>
      <c r="K10" s="189" t="str">
        <f>IF(ISBLANK('Juan''s Budget'!K10),"ERROR",IF('Juan''s Budget'!K10=4300,"Correct","ERROR"))</f>
        <v>ERROR</v>
      </c>
      <c r="L10" s="187"/>
      <c r="M10" s="176"/>
      <c r="N10" s="176"/>
      <c r="O10" s="208">
        <v>41276</v>
      </c>
      <c r="P10" s="209" t="s">
        <v>75</v>
      </c>
      <c r="Q10" s="210" t="s">
        <v>76</v>
      </c>
      <c r="R10" s="211">
        <v>500</v>
      </c>
      <c r="S10" s="212" t="s">
        <v>42</v>
      </c>
      <c r="T10" s="213" t="s">
        <v>39</v>
      </c>
      <c r="U10" s="187"/>
      <c r="V10" s="203"/>
    </row>
    <row r="11" spans="1:22" ht="31.15" customHeight="1">
      <c r="A11" s="203"/>
      <c r="B11" s="187"/>
      <c r="C11" s="398"/>
      <c r="D11" s="408" t="str">
        <f>IF(ISBLANK('Juan''s Budget'!K40),"Not Yet",IF(ABS('Juan''s Budget'!K40-('Juan''s Budget'!K16-'Juan''s Budget'!J22-'Juan''s Budget'!K22*7))&lt;0.5,IF('Juan''s Budget'!K40&lt;0,"Calculation is right, but he ran out of money. Adjust the budget…","Correct"),"ERROR, calcuation is incorrect"))</f>
        <v>Not Yet</v>
      </c>
      <c r="E11" s="176"/>
      <c r="F11" s="176"/>
      <c r="G11" s="176"/>
      <c r="H11" s="216"/>
      <c r="I11" s="278" t="s">
        <v>24</v>
      </c>
      <c r="J11" s="188"/>
      <c r="K11" s="189" t="str">
        <f>IF(ISBLANK('Juan''s Budget'!K11),"ERROR",IF('Juan''s Budget'!K11=770.84,"Correct",IF('Juan''s Budget'!K11&gt;770.84,"Caution: Did you mean to raise this amount?","ERROR")))</f>
        <v>ERROR</v>
      </c>
      <c r="L11" s="187"/>
      <c r="M11" s="176"/>
      <c r="N11" s="176"/>
      <c r="O11" s="208">
        <v>41276</v>
      </c>
      <c r="P11" s="209" t="s">
        <v>77</v>
      </c>
      <c r="Q11" s="210" t="s">
        <v>78</v>
      </c>
      <c r="R11" s="211">
        <v>50</v>
      </c>
      <c r="S11" s="212" t="s">
        <v>79</v>
      </c>
      <c r="T11" s="213" t="s">
        <v>8</v>
      </c>
      <c r="U11" s="187"/>
      <c r="V11" s="203"/>
    </row>
    <row r="12" spans="1:22" ht="31.15" customHeight="1">
      <c r="A12" s="203"/>
      <c r="B12" s="187"/>
      <c r="C12" s="398"/>
      <c r="D12" s="408"/>
      <c r="E12" s="176"/>
      <c r="F12" s="176"/>
      <c r="G12" s="176"/>
      <c r="H12" s="216"/>
      <c r="I12" s="280" t="s">
        <v>4</v>
      </c>
      <c r="J12" s="188"/>
      <c r="K12" s="189" t="str">
        <f>IF(ISBLANK('Juan''s Budget'!K12),"ERROR",IF('Juan''s Budget'!K12=28.5,"Correct",IF('Juan''s Budget'!K12&gt;28.5,"Caution: Did you mean to raise this amount?","ERROR")))</f>
        <v>ERROR</v>
      </c>
      <c r="L12" s="187"/>
      <c r="M12" s="176"/>
      <c r="N12" s="176"/>
      <c r="O12" s="208">
        <v>41276</v>
      </c>
      <c r="P12" s="209" t="s">
        <v>71</v>
      </c>
      <c r="Q12" s="210" t="s">
        <v>113</v>
      </c>
      <c r="R12" s="211">
        <v>55</v>
      </c>
      <c r="S12" s="212" t="s">
        <v>114</v>
      </c>
      <c r="T12" s="213" t="s">
        <v>39</v>
      </c>
      <c r="U12" s="187"/>
      <c r="V12" s="203"/>
    </row>
    <row r="13" spans="1:22" ht="31.15" customHeight="1" thickBot="1">
      <c r="A13" s="203"/>
      <c r="B13" s="187"/>
      <c r="C13" s="398"/>
      <c r="D13" s="288"/>
      <c r="E13" s="176"/>
      <c r="F13" s="176"/>
      <c r="G13" s="176"/>
      <c r="H13" s="216"/>
      <c r="I13" s="280" t="s">
        <v>114</v>
      </c>
      <c r="J13" s="217"/>
      <c r="K13" s="189" t="str">
        <f>IF(ISBLANK('Juan''s Budget'!K13),"ERROR",IF('Juan''s Budget'!K13=0.1*'Juan''s Budget'!K7,"Correct","Error: Tithing is 10% of Total Income."))</f>
        <v>ERROR</v>
      </c>
      <c r="L13" s="190"/>
      <c r="M13" s="176"/>
      <c r="N13" s="176"/>
      <c r="O13" s="208">
        <v>41278</v>
      </c>
      <c r="P13" s="198" t="s">
        <v>32</v>
      </c>
      <c r="Q13" s="210" t="s">
        <v>134</v>
      </c>
      <c r="R13" s="218">
        <v>4.88</v>
      </c>
      <c r="S13" s="210" t="s">
        <v>59</v>
      </c>
      <c r="T13" s="213" t="s">
        <v>8</v>
      </c>
      <c r="U13" s="187"/>
      <c r="V13" s="203"/>
    </row>
    <row r="14" spans="1:22" ht="31.15" customHeight="1" thickBot="1">
      <c r="A14" s="203"/>
      <c r="B14" s="187"/>
      <c r="C14" s="187"/>
      <c r="D14" s="187"/>
      <c r="E14" s="176"/>
      <c r="F14" s="176"/>
      <c r="G14" s="176"/>
      <c r="H14" s="204"/>
      <c r="I14" s="205"/>
      <c r="J14" s="206" t="s">
        <v>96</v>
      </c>
      <c r="K14" s="207" t="str">
        <f>IF(ISBLANK('Juan''s Budget'!K14),"ERROR",IF('Juan''s Budget'!K14=SUM('Juan''s Budget'!K9:K13),"Correct","ERROR"))</f>
        <v>Correct</v>
      </c>
      <c r="L14" s="187"/>
      <c r="M14" s="176"/>
      <c r="N14" s="176"/>
      <c r="O14" s="208">
        <v>41279</v>
      </c>
      <c r="P14" s="219" t="s">
        <v>71</v>
      </c>
      <c r="Q14" s="210" t="s">
        <v>2</v>
      </c>
      <c r="R14" s="218">
        <v>5</v>
      </c>
      <c r="S14" s="212" t="s">
        <v>34</v>
      </c>
      <c r="T14" s="213" t="s">
        <v>8</v>
      </c>
      <c r="U14" s="187"/>
      <c r="V14" s="203"/>
    </row>
    <row r="15" spans="1:22" ht="31.15" customHeight="1" thickTop="1">
      <c r="A15" s="203"/>
      <c r="B15" s="187"/>
      <c r="C15" s="397" t="s">
        <v>148</v>
      </c>
      <c r="D15" s="395" t="s">
        <v>118</v>
      </c>
      <c r="E15" s="176"/>
      <c r="F15" s="176"/>
      <c r="G15" s="176"/>
      <c r="H15" s="391" t="s">
        <v>98</v>
      </c>
      <c r="I15" s="392"/>
      <c r="J15" s="220" t="s">
        <v>99</v>
      </c>
      <c r="K15" s="214"/>
      <c r="L15" s="187"/>
      <c r="M15" s="176"/>
      <c r="N15" s="176"/>
      <c r="O15" s="208">
        <v>41280</v>
      </c>
      <c r="P15" s="198" t="s">
        <v>89</v>
      </c>
      <c r="Q15" s="210" t="s">
        <v>25</v>
      </c>
      <c r="R15" s="218">
        <v>9.75</v>
      </c>
      <c r="S15" s="210" t="s">
        <v>59</v>
      </c>
      <c r="T15" s="213" t="s">
        <v>38</v>
      </c>
      <c r="U15" s="187"/>
      <c r="V15" s="203"/>
    </row>
    <row r="16" spans="1:22" ht="31.15" customHeight="1">
      <c r="A16" s="203"/>
      <c r="B16" s="187"/>
      <c r="C16" s="398"/>
      <c r="D16" s="396"/>
      <c r="E16" s="176"/>
      <c r="F16" s="176"/>
      <c r="G16" s="176"/>
      <c r="H16" s="187"/>
      <c r="I16" s="221"/>
      <c r="J16" s="222"/>
      <c r="K16" s="207" t="str">
        <f>IF(ISBLANK('Juan''s Budget'!K16),"ERROR",IF('Juan''s Budget'!K16='Juan''s Budget'!I16-'Juan''s Budget'!K14+'Juan''s Budget'!K7,"Correct","ERROR"))</f>
        <v>ERROR</v>
      </c>
      <c r="L16" s="190"/>
      <c r="M16" s="176"/>
      <c r="N16" s="176"/>
      <c r="O16" s="208">
        <v>41281</v>
      </c>
      <c r="P16" s="198" t="s">
        <v>70</v>
      </c>
      <c r="Q16" s="210" t="s">
        <v>82</v>
      </c>
      <c r="R16" s="218">
        <v>67.5</v>
      </c>
      <c r="S16" s="210" t="s">
        <v>40</v>
      </c>
      <c r="T16" s="213" t="s">
        <v>39</v>
      </c>
      <c r="U16" s="187"/>
      <c r="V16" s="203"/>
    </row>
    <row r="17" spans="1:22" ht="31.15" customHeight="1">
      <c r="A17" s="203"/>
      <c r="B17" s="187"/>
      <c r="C17" s="398"/>
      <c r="D17" s="399" t="s">
        <v>140</v>
      </c>
      <c r="E17" s="180" t="s">
        <v>115</v>
      </c>
      <c r="F17" s="176"/>
      <c r="G17" s="176"/>
      <c r="H17" s="187"/>
      <c r="I17" s="175"/>
      <c r="J17" s="179"/>
      <c r="K17" s="187"/>
      <c r="L17" s="187"/>
      <c r="M17" s="176"/>
      <c r="N17" s="176"/>
      <c r="O17" s="208">
        <v>41281</v>
      </c>
      <c r="P17" s="198" t="s">
        <v>74</v>
      </c>
      <c r="Q17" s="210" t="s">
        <v>47</v>
      </c>
      <c r="R17" s="218">
        <v>15.52</v>
      </c>
      <c r="S17" s="210" t="s">
        <v>36</v>
      </c>
      <c r="T17" s="213" t="s">
        <v>37</v>
      </c>
      <c r="U17" s="187"/>
      <c r="V17" s="203"/>
    </row>
    <row r="18" spans="1:22" ht="31.15" customHeight="1" thickBot="1">
      <c r="A18" s="203"/>
      <c r="B18" s="187"/>
      <c r="C18" s="398"/>
      <c r="D18" s="400"/>
      <c r="E18" s="176"/>
      <c r="F18" s="176"/>
      <c r="G18" s="176"/>
      <c r="H18" s="194"/>
      <c r="I18" s="175"/>
      <c r="J18" s="175"/>
      <c r="K18" s="204"/>
      <c r="L18" s="187"/>
      <c r="M18" s="176"/>
      <c r="N18" s="176"/>
      <c r="O18" s="208">
        <v>41281</v>
      </c>
      <c r="P18" s="198" t="s">
        <v>80</v>
      </c>
      <c r="Q18" s="210" t="s">
        <v>81</v>
      </c>
      <c r="R18" s="218">
        <v>20</v>
      </c>
      <c r="S18" s="210" t="s">
        <v>3</v>
      </c>
      <c r="T18" s="213" t="s">
        <v>12</v>
      </c>
      <c r="U18" s="187"/>
      <c r="V18" s="203"/>
    </row>
    <row r="19" spans="1:22" ht="31.15" customHeight="1" thickBot="1">
      <c r="A19" s="203"/>
      <c r="B19" s="187"/>
      <c r="C19" s="398"/>
      <c r="D19" s="400"/>
      <c r="E19" s="176"/>
      <c r="F19" s="176"/>
      <c r="G19" s="176"/>
      <c r="H19" s="223"/>
      <c r="I19" s="223"/>
      <c r="J19" s="223"/>
      <c r="K19" s="393" t="s">
        <v>110</v>
      </c>
      <c r="L19" s="180" t="s">
        <v>50</v>
      </c>
      <c r="M19" s="176"/>
      <c r="N19" s="176"/>
      <c r="O19" s="208">
        <v>41281</v>
      </c>
      <c r="P19" s="224" t="s">
        <v>71</v>
      </c>
      <c r="Q19" s="210" t="s">
        <v>48</v>
      </c>
      <c r="R19" s="218">
        <f>50+5+6.75</f>
        <v>61.75</v>
      </c>
      <c r="S19" s="210" t="s">
        <v>1</v>
      </c>
      <c r="T19" s="213" t="s">
        <v>5</v>
      </c>
      <c r="U19" s="187"/>
      <c r="V19" s="203"/>
    </row>
    <row r="20" spans="1:22" ht="31.15" customHeight="1" thickTop="1">
      <c r="A20" s="203"/>
      <c r="B20" s="187"/>
      <c r="C20" s="187"/>
      <c r="D20" s="400"/>
      <c r="E20" s="176"/>
      <c r="F20" s="176"/>
      <c r="G20" s="176"/>
      <c r="H20" s="225" t="s">
        <v>106</v>
      </c>
      <c r="I20" s="225"/>
      <c r="J20" s="226" t="s">
        <v>30</v>
      </c>
      <c r="K20" s="394"/>
      <c r="L20" s="176"/>
      <c r="M20" s="176"/>
      <c r="N20" s="176"/>
      <c r="O20" s="208">
        <v>41282</v>
      </c>
      <c r="P20" s="215" t="s">
        <v>69</v>
      </c>
      <c r="Q20" s="210" t="s">
        <v>100</v>
      </c>
      <c r="R20" s="218">
        <v>14.25</v>
      </c>
      <c r="S20" s="210" t="s">
        <v>4</v>
      </c>
      <c r="T20" s="213" t="s">
        <v>8</v>
      </c>
      <c r="U20" s="187"/>
      <c r="V20" s="203"/>
    </row>
    <row r="21" spans="1:22" ht="31.15" customHeight="1" thickBot="1">
      <c r="A21" s="203"/>
      <c r="B21" s="187"/>
      <c r="C21" s="187"/>
      <c r="D21" s="400"/>
      <c r="E21" s="176"/>
      <c r="F21" s="176"/>
      <c r="G21" s="176"/>
      <c r="H21" s="187"/>
      <c r="I21" s="278" t="s">
        <v>40</v>
      </c>
      <c r="J21" s="217"/>
      <c r="K21" s="227" t="str">
        <f>IF(ISBLANK('Juan''s Budget'!K21),"ERROR",IF('Juan''s Budget'!K21=135,"Correct","ERROR: his income would be very difficult to change."))</f>
        <v>ERROR</v>
      </c>
      <c r="L21" s="176"/>
      <c r="M21" s="176"/>
      <c r="N21" s="176"/>
      <c r="O21" s="228">
        <v>41282</v>
      </c>
      <c r="P21" s="215" t="s">
        <v>69</v>
      </c>
      <c r="Q21" s="210" t="s">
        <v>26</v>
      </c>
      <c r="R21" s="218">
        <v>4.8899999999999997</v>
      </c>
      <c r="S21" s="210" t="s">
        <v>102</v>
      </c>
      <c r="T21" s="229" t="s">
        <v>12</v>
      </c>
      <c r="U21" s="187"/>
      <c r="V21" s="203"/>
    </row>
    <row r="22" spans="1:22" ht="31.15" customHeight="1" thickTop="1" thickBot="1">
      <c r="A22" s="203"/>
      <c r="B22" s="187"/>
      <c r="C22" s="187"/>
      <c r="D22" s="400"/>
      <c r="E22" s="176"/>
      <c r="F22" s="176"/>
      <c r="G22" s="176"/>
      <c r="H22" s="187"/>
      <c r="I22" s="279" t="s">
        <v>111</v>
      </c>
      <c r="J22" s="230" t="str">
        <f>IF(ISBLANK('Juan''s Budget'!J22),"ERROR",IF('Juan''s Budget'!J22=626.65,"Correct","ERROR: think Cash Flow"))</f>
        <v>ERROR</v>
      </c>
      <c r="K22" s="231" t="str">
        <f>IF(ISBLANK('Juan''s Budget'!K22),"ERROR",IF(AND('Juan''s Budget'!K22&gt;=0,ABS('Juan''s Budget'!K37)&lt;0.01),IF(K40="Calculation is right, but…","This number is too high.","Correct"),"ERROR"))</f>
        <v>ERROR</v>
      </c>
      <c r="L22" s="379" t="str">
        <f>IF(K40="Calculation is right, but…", "You are pulling so much money out of his savings each month that his Final Savings Balance is becoming negative.","")</f>
        <v/>
      </c>
      <c r="M22" s="379"/>
      <c r="N22" s="286"/>
      <c r="O22" s="208">
        <v>41282</v>
      </c>
      <c r="P22" s="198" t="s">
        <v>89</v>
      </c>
      <c r="Q22" s="210" t="s">
        <v>135</v>
      </c>
      <c r="R22" s="218">
        <v>19.38</v>
      </c>
      <c r="S22" s="210" t="s">
        <v>59</v>
      </c>
      <c r="T22" s="213" t="s">
        <v>38</v>
      </c>
      <c r="U22" s="187"/>
      <c r="V22" s="203"/>
    </row>
    <row r="23" spans="1:22" ht="31.15" customHeight="1" thickBot="1">
      <c r="A23" s="203"/>
      <c r="B23" s="187"/>
      <c r="C23" s="187"/>
      <c r="D23" s="400"/>
      <c r="E23" s="176"/>
      <c r="F23" s="176"/>
      <c r="G23" s="176"/>
      <c r="H23" s="204"/>
      <c r="I23" s="206" t="s">
        <v>108</v>
      </c>
      <c r="J23" s="232"/>
      <c r="K23" s="233"/>
      <c r="L23" s="379"/>
      <c r="M23" s="379"/>
      <c r="N23" s="286"/>
      <c r="O23" s="208">
        <v>41283</v>
      </c>
      <c r="P23" s="198" t="s">
        <v>103</v>
      </c>
      <c r="Q23" s="210" t="s">
        <v>104</v>
      </c>
      <c r="R23" s="218">
        <v>32</v>
      </c>
      <c r="S23" s="210" t="s">
        <v>101</v>
      </c>
      <c r="T23" s="213" t="s">
        <v>12</v>
      </c>
      <c r="U23" s="175"/>
      <c r="V23" s="170"/>
    </row>
    <row r="24" spans="1:22" ht="31.15" customHeight="1" thickTop="1">
      <c r="A24" s="170"/>
      <c r="B24" s="175"/>
      <c r="C24" s="175"/>
      <c r="D24" s="400"/>
      <c r="E24" s="176"/>
      <c r="F24" s="176"/>
      <c r="G24" s="176"/>
      <c r="H24" s="234" t="s">
        <v>90</v>
      </c>
      <c r="I24" s="225"/>
      <c r="J24" s="235" t="s">
        <v>30</v>
      </c>
      <c r="K24" s="236" t="s">
        <v>105</v>
      </c>
      <c r="L24" s="176"/>
      <c r="M24" s="176"/>
      <c r="N24" s="176"/>
      <c r="O24" s="208">
        <v>41284</v>
      </c>
      <c r="P24" s="198" t="s">
        <v>31</v>
      </c>
      <c r="Q24" s="210" t="s">
        <v>28</v>
      </c>
      <c r="R24" s="218">
        <v>75.319999999999993</v>
      </c>
      <c r="S24" s="210" t="s">
        <v>58</v>
      </c>
      <c r="T24" s="213" t="s">
        <v>38</v>
      </c>
      <c r="U24" s="175"/>
      <c r="V24" s="170"/>
    </row>
    <row r="25" spans="1:22" ht="31.15" customHeight="1">
      <c r="A25" s="170"/>
      <c r="B25" s="175"/>
      <c r="C25" s="175"/>
      <c r="D25" s="400"/>
      <c r="E25" s="176"/>
      <c r="F25" s="176"/>
      <c r="G25" s="176"/>
      <c r="H25" s="216"/>
      <c r="I25" s="281" t="s">
        <v>1</v>
      </c>
      <c r="J25" s="289" t="str">
        <f>K25</f>
        <v>ERROR</v>
      </c>
      <c r="K25" s="189" t="str">
        <f>IF(ISBLANK('Juan''s Budget'!K25),"ERROR",IF('Juan''s Budget'!K25=6.75*2,"Correct","Error"))</f>
        <v>ERROR</v>
      </c>
      <c r="L25" s="380" t="str">
        <f>IF(K40="Calculation is right, but...","Rebalance at least one of Seth's Budget Categories so that he doesn't have to pull more out of savings than he actually has.","")</f>
        <v/>
      </c>
      <c r="M25" s="381"/>
      <c r="N25" s="176"/>
      <c r="O25" s="208">
        <v>41284</v>
      </c>
      <c r="P25" s="198" t="s">
        <v>86</v>
      </c>
      <c r="Q25" s="210" t="s">
        <v>136</v>
      </c>
      <c r="R25" s="218">
        <v>28.5</v>
      </c>
      <c r="S25" s="210" t="s">
        <v>101</v>
      </c>
      <c r="T25" s="213" t="s">
        <v>12</v>
      </c>
      <c r="U25" s="175"/>
      <c r="V25" s="170"/>
    </row>
    <row r="26" spans="1:22" ht="31.15" customHeight="1">
      <c r="A26" s="170"/>
      <c r="B26" s="175"/>
      <c r="C26" s="175"/>
      <c r="D26" s="400"/>
      <c r="E26" s="176"/>
      <c r="F26" s="176"/>
      <c r="G26" s="176"/>
      <c r="H26" s="216"/>
      <c r="I26" s="278" t="s">
        <v>34</v>
      </c>
      <c r="J26" s="289" t="str">
        <f>IF(K26="","",IF(K26="ERROR","ERROR","Correct"))</f>
        <v>ERROR</v>
      </c>
      <c r="K26" s="189" t="str">
        <f>IF(ISBLANK('Juan''s Budget'!K26),"ERROR",IF('Juan''s Budget'!K26&gt;=5,"Correct",IF('Juan''s Budget'!K26&gt;=0,"Did you mean to lower this?")))</f>
        <v>ERROR</v>
      </c>
      <c r="L26" s="380"/>
      <c r="M26" s="381"/>
      <c r="N26" s="176"/>
      <c r="O26" s="228">
        <v>41292</v>
      </c>
      <c r="P26" s="209" t="s">
        <v>31</v>
      </c>
      <c r="Q26" s="210" t="s">
        <v>28</v>
      </c>
      <c r="R26" s="211">
        <v>148.22</v>
      </c>
      <c r="S26" s="212" t="s">
        <v>58</v>
      </c>
      <c r="T26" s="229" t="s">
        <v>38</v>
      </c>
      <c r="U26" s="175"/>
      <c r="V26" s="170"/>
    </row>
    <row r="27" spans="1:22" ht="31.15" customHeight="1">
      <c r="A27" s="170"/>
      <c r="B27" s="175"/>
      <c r="C27" s="175"/>
      <c r="D27" s="400"/>
      <c r="E27" s="176"/>
      <c r="F27" s="176"/>
      <c r="G27" s="176"/>
      <c r="H27" s="216"/>
      <c r="I27" s="278" t="s">
        <v>36</v>
      </c>
      <c r="J27" s="289" t="str">
        <f>K27</f>
        <v>ERROR</v>
      </c>
      <c r="K27" s="189" t="str">
        <f>IF(ISBLANK('Juan''s Budget'!K27),"ERROR",IF('Juan''s Budget'!K27=31.04,"Correct","ERROR"))</f>
        <v>ERROR</v>
      </c>
      <c r="L27" s="380"/>
      <c r="M27" s="381"/>
      <c r="N27" s="176"/>
      <c r="O27" s="208">
        <v>41292</v>
      </c>
      <c r="P27" s="209" t="s">
        <v>84</v>
      </c>
      <c r="Q27" s="210" t="s">
        <v>137</v>
      </c>
      <c r="R27" s="211">
        <v>58.39</v>
      </c>
      <c r="S27" s="212" t="s">
        <v>0</v>
      </c>
      <c r="T27" s="213" t="s">
        <v>12</v>
      </c>
      <c r="U27" s="187"/>
      <c r="V27" s="203"/>
    </row>
    <row r="28" spans="1:22" ht="31.15" customHeight="1">
      <c r="A28" s="203"/>
      <c r="B28" s="187"/>
      <c r="C28" s="187"/>
      <c r="D28" s="400"/>
      <c r="E28" s="176"/>
      <c r="F28" s="176"/>
      <c r="G28" s="176"/>
      <c r="H28" s="216"/>
      <c r="I28" s="278" t="s">
        <v>58</v>
      </c>
      <c r="J28" s="289" t="str">
        <f>IF(K28="","",IF(K28="ERROR","ERROR","Correct"))</f>
        <v>ERROR</v>
      </c>
      <c r="K28" s="189" t="str">
        <f>IF(ISBLANK('Juan''s Budget'!K28),"ERROR",IF('Juan''s Budget'!K28&gt;85,"Correct","Okay, explain grocery plan."))</f>
        <v>ERROR</v>
      </c>
      <c r="L28" s="380"/>
      <c r="M28" s="381"/>
      <c r="N28" s="176"/>
      <c r="O28" s="208">
        <v>41292</v>
      </c>
      <c r="P28" s="215" t="s">
        <v>72</v>
      </c>
      <c r="Q28" s="210" t="s">
        <v>27</v>
      </c>
      <c r="R28" s="218">
        <v>99.98</v>
      </c>
      <c r="S28" s="212" t="s">
        <v>7</v>
      </c>
      <c r="T28" s="213" t="s">
        <v>38</v>
      </c>
      <c r="U28" s="187"/>
      <c r="V28" s="203"/>
    </row>
    <row r="29" spans="1:22" ht="31.15" customHeight="1">
      <c r="A29" s="203"/>
      <c r="B29" s="187"/>
      <c r="C29" s="187"/>
      <c r="D29" s="400"/>
      <c r="E29" s="176"/>
      <c r="F29" s="176"/>
      <c r="G29" s="176"/>
      <c r="H29" s="216"/>
      <c r="I29" s="278" t="s">
        <v>59</v>
      </c>
      <c r="J29" s="289" t="str">
        <f>IF(K29="","",IF(K29="ERROR","ERROR","Correct"))</f>
        <v>ERROR</v>
      </c>
      <c r="K29" s="189" t="str">
        <f>IF(ISBLANK('Juan''s Budget'!K29),"ERROR",IF('Juan''s Budget'!K29&gt;10,"Correct",IF('Juan''s Budget'!K29&gt;=0,"Okay, explain eating out plan.","ERROR")))</f>
        <v>ERROR</v>
      </c>
      <c r="L29" s="380"/>
      <c r="M29" s="381"/>
      <c r="N29" s="176"/>
      <c r="O29" s="208">
        <v>41296</v>
      </c>
      <c r="P29" s="215" t="s">
        <v>70</v>
      </c>
      <c r="Q29" s="210" t="s">
        <v>83</v>
      </c>
      <c r="R29" s="218">
        <v>67.5</v>
      </c>
      <c r="S29" s="212" t="s">
        <v>40</v>
      </c>
      <c r="T29" s="213" t="s">
        <v>39</v>
      </c>
      <c r="U29" s="187"/>
      <c r="V29" s="203"/>
    </row>
    <row r="30" spans="1:22" ht="31.15" customHeight="1" thickBot="1">
      <c r="A30" s="203"/>
      <c r="B30" s="187"/>
      <c r="C30" s="187"/>
      <c r="D30" s="400"/>
      <c r="E30" s="176"/>
      <c r="F30" s="176"/>
      <c r="G30" s="176"/>
      <c r="H30" s="216"/>
      <c r="I30" s="278" t="s">
        <v>7</v>
      </c>
      <c r="J30" s="289" t="str">
        <f>IF(K30="","",IF(K30="ERROR","ERROR","Correct"))</f>
        <v>ERROR</v>
      </c>
      <c r="K30" s="189" t="str">
        <f>IF(ISBLANK('Juan''s Budget'!K30),"ERROR",IF('Juan''s Budget'!K30&gt;=99.98,"Correct",IF('Juan''s Budget'!K30&gt;=0,"Okay, explain cell plan.","ERROR")))</f>
        <v>ERROR</v>
      </c>
      <c r="L30" s="380"/>
      <c r="M30" s="381"/>
      <c r="N30" s="176"/>
      <c r="O30" s="208">
        <v>41296</v>
      </c>
      <c r="P30" s="215" t="s">
        <v>74</v>
      </c>
      <c r="Q30" s="210" t="s">
        <v>47</v>
      </c>
      <c r="R30" s="218">
        <v>15.52</v>
      </c>
      <c r="S30" s="212" t="s">
        <v>36</v>
      </c>
      <c r="T30" s="213" t="s">
        <v>37</v>
      </c>
      <c r="U30" s="187"/>
      <c r="V30" s="203"/>
    </row>
    <row r="31" spans="1:22" ht="31.15" customHeight="1">
      <c r="A31" s="203"/>
      <c r="B31" s="187"/>
      <c r="C31" s="187"/>
      <c r="D31" s="400"/>
      <c r="E31" s="176"/>
      <c r="F31" s="176"/>
      <c r="G31" s="176"/>
      <c r="H31" s="216"/>
      <c r="I31" s="278" t="s">
        <v>3</v>
      </c>
      <c r="J31" s="289" t="str">
        <f>IF(K29="","",IF(K31="ERROR","ERROR","Correct"))</f>
        <v>ERROR</v>
      </c>
      <c r="K31" s="189" t="str">
        <f>IF(ISBLANK('Juan''s Budget'!K31),"ERROR",IF('Juan''s Budget'!K31&gt;=40,"Correct",IF('Juan''s Budget'!K31&gt;=0,"Okay, explain travel plan.","ERROR")))</f>
        <v>ERROR</v>
      </c>
      <c r="L31" s="380"/>
      <c r="M31" s="381"/>
      <c r="N31" s="237" t="s">
        <v>51</v>
      </c>
      <c r="O31" s="238" t="str">
        <f>IF(ISBLANK('Juan''s Budget'!O31),"ERROR",IF('Juan''s Budget'!O31=O35,"Correct","ERROR"))</f>
        <v>ERROR</v>
      </c>
      <c r="P31" s="239" t="str">
        <f>IF(ISBLANK('Juan''s Budget'!P31),"ERROR",IF('Juan''s Budget'!P31="Gauss's Market","Correct","ERROR"))</f>
        <v>ERROR</v>
      </c>
      <c r="Q31" s="240" t="str">
        <f>IF(ISBLANK('Juan''s Budget'!Q31),"ERROR","Correct")</f>
        <v>ERROR</v>
      </c>
      <c r="R31" s="241" t="str">
        <f>IF(ISBLANK('Juan''s Budget'!R31),"ERROR",IF('Juan''s Budget'!R31=40.02,"Correct","ERROR"))</f>
        <v>ERROR</v>
      </c>
      <c r="S31" s="240" t="str">
        <f>IF(ISBLANK('Juan''s Budget'!S31),"ERROR",IF('Juan''s Budget'!S31="Groceries","Correct","ERROR"))</f>
        <v>ERROR</v>
      </c>
      <c r="T31" s="242" t="str">
        <f>IF(ISBLANK('Juan''s Budget'!T31),"ERROR",IF('Juan''s Budget'!T31="Debit Card","Correct","ERROR"))</f>
        <v>ERROR</v>
      </c>
      <c r="U31" s="187"/>
      <c r="V31" s="203"/>
    </row>
    <row r="32" spans="1:22" ht="31.15" customHeight="1">
      <c r="A32" s="203"/>
      <c r="B32" s="187"/>
      <c r="C32" s="187"/>
      <c r="D32" s="401"/>
      <c r="E32" s="176"/>
      <c r="F32" s="176"/>
      <c r="G32" s="176"/>
      <c r="H32" s="216"/>
      <c r="I32" s="278" t="s">
        <v>0</v>
      </c>
      <c r="J32" s="289" t="str">
        <f>IF(K30="","",IF(K32="ERROR","ERROR","Correct"))</f>
        <v>ERROR</v>
      </c>
      <c r="K32" s="189" t="str">
        <f>IF(ISBLANK('Juan''s Budget'!K32),"ERROR",IF('Juan''s Budget'!K32&gt;=10,"Correct",IF('Juan''s Budget'!K32&gt;=0,"Okay, explain gift ideas.","ERROR")))</f>
        <v>ERROR</v>
      </c>
      <c r="L32" s="380"/>
      <c r="M32" s="381"/>
      <c r="N32" s="190"/>
      <c r="O32" s="243" t="str">
        <f>IF(ISBLANK('Juan''s Budget'!O32),"ERROR",IF('Juan''s Budget'!O32=O36,"Correct","ERROR"))</f>
        <v>ERROR</v>
      </c>
      <c r="P32" s="244" t="str">
        <f>IF(ISBLANK('Juan''s Budget'!P32),"ERROR",IF('Juan''s Budget'!P32="Fuel Center","Correct","ERROR"))</f>
        <v>ERROR</v>
      </c>
      <c r="Q32" s="245" t="str">
        <f>IF(ISBLANK('Juan''s Budget'!Q32),"ERROR","Correct")</f>
        <v>ERROR</v>
      </c>
      <c r="R32" s="246" t="str">
        <f>IF(ISBLANK('Juan''s Budget'!R32),"ERROR",IF('Juan''s Budget'!R32=20,"Correct","ERROR"))</f>
        <v>ERROR</v>
      </c>
      <c r="S32" s="247" t="str">
        <f>IF(ISBLANK('Juan''s Budget'!S32),"ERROR",IF('Juan''s Budget'!S32="Travel","Correct","ERROR"))</f>
        <v>ERROR</v>
      </c>
      <c r="T32" s="248" t="str">
        <f>IF(ISBLANK('Juan''s Budget'!T32),"ERROR",IF('Juan''s Budget'!T32="Credit Card","Correct","ERROR"))</f>
        <v>ERROR</v>
      </c>
      <c r="U32" s="187"/>
      <c r="V32" s="203"/>
    </row>
    <row r="33" spans="1:22" ht="31.15" customHeight="1" thickBot="1">
      <c r="A33" s="203"/>
      <c r="B33" s="187"/>
      <c r="C33" s="187"/>
      <c r="D33" s="288"/>
      <c r="E33" s="176"/>
      <c r="F33" s="176"/>
      <c r="G33" s="176"/>
      <c r="H33" s="216"/>
      <c r="I33" s="278" t="s">
        <v>101</v>
      </c>
      <c r="J33" s="289" t="str">
        <f>IF(K31="","",IF(K33="ERROR","ERROR","Correct"))</f>
        <v>ERROR</v>
      </c>
      <c r="K33" s="189" t="str">
        <f>IF(ISBLANK('Juan''s Budget'!K33),"ERROR",IF('Juan''s Budget'!K33&gt;=10,"Correct",IF('Juan''s Budget'!K33&gt;=0,"Okay, got entertainment ideas?","ERROR")))</f>
        <v>ERROR</v>
      </c>
      <c r="L33" s="380"/>
      <c r="M33" s="381"/>
      <c r="N33" s="249"/>
      <c r="O33" s="250" t="str">
        <f>IF(ISBLANK('Juan''s Budget'!O33),"ERROR",IF('Juan''s Budget'!O33=O37,"Correct","ERROR"))</f>
        <v>ERROR</v>
      </c>
      <c r="P33" s="251" t="str">
        <f>IF(ISBLANK('Juan''s Budget'!P33),"ERROR",IF(OR('Juan''s Budget'!P33="The Church of Jesus Christ of Latter-day Saints",'Juan''s Budget'!P33="The Church",'Juan''s Budget'!P33="The Church of Jesus Christ"),"Correct","ERROR"))</f>
        <v>ERROR</v>
      </c>
      <c r="Q33" s="252" t="str">
        <f>IF(ISBLANK('Juan''s Budget'!Q33),"ERROR","Correct")</f>
        <v>ERROR</v>
      </c>
      <c r="R33" s="253" t="str">
        <f>IF(ISBLANK('Juan''s Budget'!R33),"ERROR",IF('Juan''s Budget'!R33=6.75,"Correct","ERROR"))</f>
        <v>ERROR</v>
      </c>
      <c r="S33" s="252" t="str">
        <f>IF(ISBLANK('Juan''s Budget'!S33),"ERROR",IF('Juan''s Budget'!S33="Tithing","Correct","ERROR"))</f>
        <v>ERROR</v>
      </c>
      <c r="T33" s="254" t="str">
        <f>IF(ISBLANK('Juan''s Budget'!T33),"ERROR",IF(OR('Juan''s Budget'!T33="Direct Deposit",'Juan''s Budget'!T33="Debit Card"),"Correct","ERROR"))</f>
        <v>ERROR</v>
      </c>
      <c r="U33" s="187"/>
      <c r="V33" s="203"/>
    </row>
    <row r="34" spans="1:22" ht="31.15" customHeight="1" thickBot="1">
      <c r="A34" s="203"/>
      <c r="B34" s="187"/>
      <c r="C34" s="187"/>
      <c r="D34" s="187"/>
      <c r="E34" s="176"/>
      <c r="F34" s="176"/>
      <c r="G34" s="176"/>
      <c r="H34" s="187"/>
      <c r="I34" s="278" t="s">
        <v>102</v>
      </c>
      <c r="J34" s="289" t="str">
        <f>IF(K32="","",IF(K34="ERROR","ERROR","Correct"))</f>
        <v>ERROR</v>
      </c>
      <c r="K34" s="189" t="str">
        <f>IF(ISBLANK('Juan''s Budget'!K34),"ERROR",IF('Juan''s Budget'!K34&gt;=4.89,"Correct",IF('Juan''s Budget'!K34&gt;0,"Okay, what about toilet paper?","ERROR")))</f>
        <v>ERROR</v>
      </c>
      <c r="L34" s="380"/>
      <c r="M34" s="381"/>
      <c r="N34" s="187"/>
      <c r="O34" s="255"/>
      <c r="P34" s="256"/>
      <c r="Q34" s="256"/>
      <c r="R34" s="257"/>
      <c r="S34" s="258"/>
      <c r="T34" s="259"/>
      <c r="U34" s="187"/>
      <c r="V34" s="203"/>
    </row>
    <row r="35" spans="1:22" ht="31.15" customHeight="1" thickBot="1">
      <c r="A35" s="203"/>
      <c r="B35" s="187"/>
      <c r="C35" s="187"/>
      <c r="D35" s="187"/>
      <c r="E35" s="176"/>
      <c r="F35" s="176"/>
      <c r="G35" s="176"/>
      <c r="H35" s="187"/>
      <c r="I35" s="260" t="s">
        <v>107</v>
      </c>
      <c r="J35" s="261"/>
      <c r="K35" s="262"/>
      <c r="L35" s="187"/>
      <c r="M35" s="293">
        <f ca="1">YEAR(TODAY())</f>
        <v>2023</v>
      </c>
      <c r="N35" s="293"/>
      <c r="O35" s="263">
        <f ca="1">DATE($M$35,1,23)</f>
        <v>43487</v>
      </c>
      <c r="P35" s="264"/>
      <c r="Q35" s="264"/>
      <c r="R35" s="265"/>
      <c r="S35" s="266"/>
      <c r="T35" s="267"/>
      <c r="U35" s="187"/>
      <c r="V35" s="203"/>
    </row>
    <row r="36" spans="1:22" ht="31.15" customHeight="1" thickTop="1">
      <c r="A36" s="203"/>
      <c r="B36" s="187"/>
      <c r="C36" s="187"/>
      <c r="D36" s="187"/>
      <c r="E36" s="176"/>
      <c r="F36" s="176"/>
      <c r="G36" s="176"/>
      <c r="H36" s="234" t="s">
        <v>13</v>
      </c>
      <c r="I36" s="225"/>
      <c r="J36" s="235" t="s">
        <v>30</v>
      </c>
      <c r="K36" s="236" t="s">
        <v>105</v>
      </c>
      <c r="L36" s="187"/>
      <c r="M36" s="293"/>
      <c r="N36" s="293"/>
      <c r="O36" s="263">
        <f ca="1">DATE($M$35,1,26)</f>
        <v>43490</v>
      </c>
      <c r="P36" s="264"/>
      <c r="Q36" s="264"/>
      <c r="R36" s="265"/>
      <c r="S36" s="266"/>
      <c r="T36" s="267"/>
      <c r="U36" s="187"/>
      <c r="V36" s="203"/>
    </row>
    <row r="37" spans="1:22" ht="31.15" customHeight="1">
      <c r="A37" s="203"/>
      <c r="B37" s="187"/>
      <c r="C37" s="187"/>
      <c r="D37" s="187"/>
      <c r="E37" s="176"/>
      <c r="F37" s="176"/>
      <c r="G37" s="176"/>
      <c r="H37" s="216"/>
      <c r="I37" s="268" t="s">
        <v>109</v>
      </c>
      <c r="J37" s="269" t="str">
        <f>IF(ISBLANK('Juan''s Budget'!J37),"ERROR",IF(AND('Juan''s Budget'!J37&gt;=0,SUM('Juan''s Budget'!J21:'Juan''s Budget'!J22)-SUM('Juan''s Budget'!K25:'Juan''s Budget'!K34)&gt;=0),"Correct","ERROR"))</f>
        <v>ERROR</v>
      </c>
      <c r="K37" s="269" t="str">
        <f>IF(ISBLANK('Juan''s Budget'!K37),"ERROR",IF(AND('Juan''s Budget'!K37&gt;=0,ABS(SUM('Juan''s Budget'!K21:'Juan''s Budget'!K22)-SUM('Juan''s Budget'!K25:'Juan''s Budget'!K34)-'Juan''s Budget'!K37)&lt;0.01),"Correct","ERROR"))</f>
        <v>Correct</v>
      </c>
      <c r="L37" s="187"/>
      <c r="M37" s="293"/>
      <c r="N37" s="293"/>
      <c r="O37" s="263">
        <f ca="1">DATE($M$35,1,27)</f>
        <v>43491</v>
      </c>
      <c r="P37" s="264"/>
      <c r="Q37" s="264"/>
      <c r="R37" s="265"/>
      <c r="S37" s="266"/>
      <c r="T37" s="267"/>
      <c r="U37" s="187"/>
      <c r="V37" s="203"/>
    </row>
    <row r="38" spans="1:22" ht="31.15" customHeight="1" thickBot="1">
      <c r="A38" s="203"/>
      <c r="B38" s="187"/>
      <c r="C38" s="187"/>
      <c r="D38" s="187"/>
      <c r="E38" s="176"/>
      <c r="F38" s="176"/>
      <c r="G38" s="176"/>
      <c r="H38" s="187"/>
      <c r="I38" s="187"/>
      <c r="J38" s="270" t="s">
        <v>87</v>
      </c>
      <c r="K38" s="270" t="s">
        <v>87</v>
      </c>
      <c r="L38" s="187"/>
      <c r="M38" s="293"/>
      <c r="N38" s="293"/>
      <c r="O38" s="294"/>
      <c r="P38" s="266"/>
      <c r="Q38" s="266"/>
      <c r="R38" s="272"/>
      <c r="S38" s="266"/>
      <c r="T38" s="273"/>
      <c r="U38" s="187"/>
      <c r="V38" s="203"/>
    </row>
    <row r="39" spans="1:22" ht="31.15" customHeight="1" thickTop="1">
      <c r="A39" s="203"/>
      <c r="B39" s="187"/>
      <c r="C39" s="187"/>
      <c r="D39" s="187"/>
      <c r="E39" s="176"/>
      <c r="F39" s="176"/>
      <c r="G39" s="176"/>
      <c r="H39" s="383" t="s">
        <v>133</v>
      </c>
      <c r="I39" s="384"/>
      <c r="J39" s="384"/>
      <c r="K39" s="385"/>
      <c r="L39" s="187"/>
      <c r="M39" s="187"/>
      <c r="N39" s="187"/>
      <c r="O39" s="271"/>
      <c r="P39" s="266"/>
      <c r="Q39" s="266"/>
      <c r="R39" s="272"/>
      <c r="S39" s="266"/>
      <c r="T39" s="273"/>
      <c r="U39" s="187"/>
      <c r="V39" s="203"/>
    </row>
    <row r="40" spans="1:22" ht="31.15" customHeight="1" thickBot="1">
      <c r="A40" s="170"/>
      <c r="B40" s="187"/>
      <c r="C40" s="187"/>
      <c r="D40" s="187"/>
      <c r="E40" s="176"/>
      <c r="F40" s="176"/>
      <c r="G40" s="176"/>
      <c r="H40" s="187"/>
      <c r="I40" s="187"/>
      <c r="J40" s="190"/>
      <c r="K40" s="274" t="str">
        <f>IF(ISBLANK('Juan''s Budget'!K40),"ERROR",IF(ABS('Juan''s Budget'!K40-('Juan''s Budget'!K16-'Juan''s Budget'!J22-'Juan''s Budget'!K22*7))&lt;0.5,IF('Juan''s Budget'!K40&lt;0,"Calculation is right, but…","Correct"),"ERROR"))</f>
        <v>ERROR</v>
      </c>
      <c r="L40" s="382" t="str">
        <f>IF(K40="Calculation is right, but…","ERROR: Juan's Savings Balance cannot be negative. He cannot use more money than he has.","")</f>
        <v/>
      </c>
      <c r="M40" s="382"/>
      <c r="N40" s="287"/>
      <c r="O40" s="287"/>
      <c r="P40" s="287"/>
      <c r="Q40" s="287"/>
      <c r="R40" s="265"/>
      <c r="S40" s="266"/>
      <c r="T40" s="267"/>
      <c r="U40" s="187"/>
      <c r="V40" s="170"/>
    </row>
    <row r="41" spans="1:22" ht="31.15" customHeight="1">
      <c r="A41" s="170"/>
      <c r="B41" s="187"/>
      <c r="C41" s="187"/>
      <c r="D41" s="187"/>
      <c r="E41" s="176"/>
      <c r="F41" s="176"/>
      <c r="G41" s="176"/>
      <c r="H41" s="187"/>
      <c r="I41" s="276"/>
      <c r="J41" s="190"/>
      <c r="K41" s="270"/>
      <c r="L41" s="382"/>
      <c r="M41" s="382"/>
      <c r="N41" s="187"/>
      <c r="O41" s="275"/>
      <c r="P41" s="264"/>
      <c r="Q41" s="264"/>
      <c r="R41" s="265"/>
      <c r="S41" s="266"/>
      <c r="T41" s="267"/>
      <c r="U41" s="187"/>
      <c r="V41" s="170"/>
    </row>
    <row r="42" spans="1:22" ht="31.15" customHeight="1">
      <c r="A42" s="170"/>
      <c r="B42" s="187"/>
      <c r="C42" s="187"/>
      <c r="D42" s="187"/>
      <c r="E42" s="176"/>
      <c r="F42" s="176"/>
      <c r="G42" s="176"/>
      <c r="H42" s="187"/>
      <c r="I42" s="276"/>
      <c r="J42" s="187"/>
      <c r="K42" s="276"/>
      <c r="L42" s="382"/>
      <c r="M42" s="382"/>
      <c r="N42" s="187"/>
      <c r="O42" s="275"/>
      <c r="P42" s="264"/>
      <c r="Q42" s="264"/>
      <c r="R42" s="265"/>
      <c r="S42" s="266"/>
      <c r="T42" s="267"/>
      <c r="U42" s="175"/>
      <c r="V42" s="170"/>
    </row>
    <row r="43" spans="1:22" ht="31.15" customHeight="1">
      <c r="A43" s="170"/>
      <c r="B43" s="170"/>
      <c r="C43" s="170"/>
      <c r="D43" s="170"/>
      <c r="E43" s="170"/>
      <c r="F43" s="170"/>
      <c r="G43" s="170"/>
      <c r="H43" s="170"/>
      <c r="I43" s="170"/>
      <c r="J43" s="170"/>
      <c r="K43" s="170"/>
      <c r="L43" s="170"/>
      <c r="M43" s="170"/>
      <c r="N43" s="170"/>
      <c r="O43" s="170"/>
      <c r="P43" s="170"/>
      <c r="Q43" s="170"/>
      <c r="R43" s="170"/>
      <c r="S43" s="170"/>
      <c r="T43" s="170"/>
      <c r="U43" s="170"/>
      <c r="V43" s="170"/>
    </row>
    <row r="44" spans="1:22" ht="31.15" customHeight="1">
      <c r="E44" s="16"/>
      <c r="F44" s="16"/>
      <c r="G44" s="16"/>
      <c r="H44" s="16"/>
      <c r="I44" s="9"/>
      <c r="J44" s="9"/>
      <c r="K44" s="9"/>
      <c r="L44" s="9"/>
      <c r="M44" s="9"/>
      <c r="N44" s="9"/>
      <c r="O44" s="46"/>
      <c r="P44" s="47"/>
      <c r="Q44" s="48"/>
      <c r="R44" s="49"/>
      <c r="S44" s="42"/>
      <c r="T44" s="42"/>
    </row>
    <row r="45" spans="1:22" ht="31.15" customHeight="1">
      <c r="E45" s="16"/>
      <c r="F45" s="16"/>
      <c r="G45" s="16"/>
      <c r="H45" s="16"/>
      <c r="I45" s="9"/>
      <c r="J45" s="9"/>
      <c r="K45" s="9"/>
      <c r="L45" s="9"/>
      <c r="M45" s="9"/>
      <c r="N45" s="9"/>
      <c r="O45" s="46"/>
      <c r="P45" s="47"/>
      <c r="Q45" s="48"/>
      <c r="R45" s="49"/>
      <c r="S45" s="42"/>
      <c r="T45" s="42"/>
    </row>
    <row r="46" spans="1:22" ht="31.15" customHeight="1">
      <c r="E46" s="16"/>
      <c r="F46" s="16"/>
      <c r="G46" s="16"/>
      <c r="H46" s="16"/>
      <c r="I46" s="9"/>
      <c r="J46" s="9"/>
      <c r="K46" s="9"/>
      <c r="L46" s="9"/>
      <c r="M46" s="9"/>
      <c r="N46" s="9"/>
      <c r="O46" s="46"/>
      <c r="P46" s="47"/>
      <c r="Q46" s="48"/>
      <c r="R46" s="49"/>
      <c r="S46" s="42"/>
      <c r="T46" s="42"/>
    </row>
    <row r="47" spans="1:22" ht="31.15" customHeight="1">
      <c r="E47" s="16"/>
      <c r="F47" s="16"/>
      <c r="G47" s="16"/>
      <c r="H47" s="16"/>
      <c r="I47" s="9"/>
      <c r="J47" s="9"/>
      <c r="K47" s="9"/>
      <c r="L47" s="9"/>
      <c r="M47" s="9"/>
      <c r="N47" s="9"/>
      <c r="O47" s="46"/>
      <c r="P47" s="47"/>
      <c r="Q47" s="48"/>
      <c r="R47" s="49"/>
      <c r="S47" s="42"/>
      <c r="T47" s="42"/>
    </row>
    <row r="48" spans="1:22" ht="31.15" customHeight="1">
      <c r="E48" s="16"/>
      <c r="F48" s="16"/>
      <c r="G48" s="16"/>
      <c r="H48" s="16"/>
      <c r="I48" s="9"/>
      <c r="J48" s="9"/>
      <c r="K48" s="9"/>
      <c r="L48" s="9"/>
      <c r="M48" s="9"/>
      <c r="N48" s="9"/>
      <c r="O48" s="46"/>
      <c r="P48" s="47"/>
      <c r="Q48" s="48"/>
      <c r="R48" s="49"/>
      <c r="S48" s="42"/>
      <c r="T48" s="42"/>
    </row>
    <row r="49" spans="5:20" ht="31.15" customHeight="1">
      <c r="E49" s="16"/>
      <c r="F49" s="16"/>
      <c r="G49" s="16"/>
      <c r="H49" s="16"/>
      <c r="I49" s="9"/>
      <c r="J49" s="9"/>
      <c r="K49" s="9"/>
      <c r="L49" s="9"/>
      <c r="M49" s="9"/>
      <c r="N49" s="9"/>
      <c r="O49" s="46"/>
      <c r="P49" s="47"/>
      <c r="Q49" s="48"/>
      <c r="R49" s="49"/>
      <c r="S49" s="42"/>
      <c r="T49" s="42"/>
    </row>
    <row r="50" spans="5:20" ht="31.15" customHeight="1">
      <c r="E50" s="16"/>
      <c r="F50" s="16"/>
      <c r="G50" s="16"/>
      <c r="H50" s="16"/>
      <c r="I50" s="9"/>
      <c r="J50" s="9"/>
      <c r="K50" s="9"/>
      <c r="L50" s="9"/>
      <c r="M50" s="9"/>
      <c r="N50" s="9"/>
      <c r="O50" s="46"/>
      <c r="P50" s="47"/>
      <c r="Q50" s="48"/>
      <c r="R50" s="49"/>
      <c r="S50" s="42"/>
      <c r="T50" s="42"/>
    </row>
    <row r="51" spans="5:20" ht="31.15" customHeight="1">
      <c r="E51" s="16"/>
      <c r="F51" s="16"/>
      <c r="G51" s="16"/>
      <c r="H51" s="16"/>
      <c r="I51" s="9"/>
      <c r="J51" s="9"/>
      <c r="K51" s="9"/>
      <c r="L51" s="9"/>
      <c r="M51" s="9"/>
      <c r="N51" s="9"/>
      <c r="O51" s="46"/>
      <c r="P51" s="47"/>
      <c r="Q51" s="48"/>
      <c r="R51" s="49"/>
      <c r="S51" s="42"/>
      <c r="T51" s="42"/>
    </row>
    <row r="52" spans="5:20" ht="31.15" customHeight="1">
      <c r="E52" s="16"/>
      <c r="F52" s="16"/>
      <c r="G52" s="16"/>
      <c r="H52" s="16"/>
      <c r="I52" s="9"/>
      <c r="J52" s="9"/>
      <c r="K52" s="9"/>
      <c r="L52" s="9"/>
      <c r="M52" s="9"/>
      <c r="N52" s="9"/>
      <c r="O52" s="46"/>
      <c r="P52" s="47"/>
      <c r="Q52" s="48"/>
      <c r="R52" s="49"/>
      <c r="S52" s="42"/>
      <c r="T52" s="42"/>
    </row>
    <row r="53" spans="5:20" ht="31.15" customHeight="1">
      <c r="E53" s="16"/>
      <c r="F53" s="16"/>
      <c r="G53" s="16"/>
      <c r="H53" s="16"/>
      <c r="I53" s="9"/>
      <c r="J53" s="9"/>
      <c r="K53" s="9"/>
      <c r="L53" s="9"/>
      <c r="M53" s="9"/>
      <c r="N53" s="9"/>
      <c r="O53" s="46"/>
      <c r="P53" s="47"/>
      <c r="Q53" s="48"/>
      <c r="R53" s="49"/>
      <c r="S53" s="42"/>
      <c r="T53" s="42"/>
    </row>
    <row r="54" spans="5:20" ht="31.15" customHeight="1">
      <c r="E54" s="9"/>
      <c r="F54" s="16"/>
      <c r="G54" s="16"/>
      <c r="H54" s="16"/>
      <c r="I54" s="9"/>
      <c r="J54" s="9"/>
      <c r="K54" s="9"/>
      <c r="L54" s="9"/>
      <c r="M54" s="9"/>
      <c r="N54" s="9"/>
      <c r="O54" s="46"/>
      <c r="P54" s="47"/>
      <c r="Q54" s="48"/>
      <c r="R54" s="49"/>
      <c r="S54" s="42"/>
      <c r="T54" s="42"/>
    </row>
    <row r="55" spans="5:20" ht="31.15" customHeight="1">
      <c r="E55" s="9"/>
      <c r="F55" s="16"/>
      <c r="G55" s="16"/>
      <c r="H55" s="16"/>
      <c r="I55" s="9"/>
      <c r="J55" s="9"/>
      <c r="K55" s="9"/>
      <c r="L55" s="9"/>
      <c r="M55" s="9"/>
      <c r="N55" s="9"/>
      <c r="O55" s="46"/>
      <c r="P55" s="47"/>
      <c r="Q55" s="48"/>
      <c r="R55" s="49"/>
      <c r="S55" s="42"/>
      <c r="T55" s="42"/>
    </row>
    <row r="56" spans="5:20" ht="31.15" customHeight="1">
      <c r="E56" s="9"/>
      <c r="F56" s="16"/>
      <c r="G56" s="16"/>
      <c r="H56" s="16"/>
      <c r="I56" s="9"/>
      <c r="J56" s="9"/>
      <c r="K56" s="9"/>
      <c r="L56" s="9"/>
      <c r="M56" s="9"/>
      <c r="N56" s="9"/>
      <c r="O56" s="46"/>
      <c r="P56" s="47"/>
      <c r="Q56" s="48"/>
      <c r="R56" s="49"/>
      <c r="S56" s="42"/>
      <c r="T56" s="42"/>
    </row>
    <row r="57" spans="5:20" ht="31.15" customHeight="1">
      <c r="E57" s="9"/>
      <c r="F57" s="16"/>
      <c r="G57" s="16"/>
      <c r="H57" s="16"/>
      <c r="I57" s="9"/>
      <c r="J57" s="9"/>
      <c r="K57" s="9"/>
      <c r="L57" s="9"/>
      <c r="M57" s="9"/>
      <c r="N57" s="9"/>
      <c r="O57" s="46"/>
      <c r="P57" s="47"/>
      <c r="Q57" s="48"/>
      <c r="R57" s="49"/>
      <c r="S57" s="42"/>
      <c r="T57" s="42"/>
    </row>
    <row r="58" spans="5:20" ht="31.15" customHeight="1">
      <c r="E58" s="9"/>
      <c r="F58" s="16"/>
      <c r="G58" s="16"/>
      <c r="H58" s="16"/>
      <c r="I58" s="9"/>
      <c r="J58" s="9"/>
      <c r="K58" s="9"/>
      <c r="L58" s="9"/>
      <c r="M58" s="9"/>
      <c r="N58" s="9"/>
      <c r="O58" s="46"/>
      <c r="P58" s="47"/>
      <c r="Q58" s="48"/>
      <c r="R58" s="49"/>
      <c r="S58" s="42"/>
      <c r="T58" s="42"/>
    </row>
    <row r="59" spans="5:20" ht="31.15" customHeight="1">
      <c r="E59" s="9"/>
      <c r="F59" s="16"/>
      <c r="G59" s="16"/>
      <c r="H59" s="16"/>
      <c r="I59" s="9"/>
      <c r="J59" s="9"/>
      <c r="K59" s="9"/>
      <c r="L59" s="9"/>
      <c r="M59" s="9"/>
      <c r="N59" s="9"/>
      <c r="O59" s="46"/>
      <c r="P59" s="47"/>
      <c r="Q59" s="48"/>
      <c r="R59" s="49"/>
      <c r="S59" s="42"/>
      <c r="T59" s="42"/>
    </row>
    <row r="60" spans="5:20" ht="31.15" customHeight="1">
      <c r="E60" s="9"/>
      <c r="F60" s="16"/>
      <c r="G60" s="16"/>
      <c r="H60" s="16"/>
      <c r="I60" s="9"/>
      <c r="J60" s="9"/>
      <c r="K60" s="9"/>
      <c r="L60" s="9"/>
      <c r="M60" s="9"/>
      <c r="N60" s="9"/>
      <c r="O60" s="46"/>
      <c r="P60" s="47"/>
      <c r="Q60" s="48"/>
      <c r="R60" s="49"/>
      <c r="S60" s="42"/>
      <c r="T60" s="42"/>
    </row>
    <row r="61" spans="5:20" ht="31.15" customHeight="1">
      <c r="E61" s="9"/>
      <c r="F61" s="16"/>
      <c r="G61" s="16"/>
      <c r="H61" s="16"/>
      <c r="I61" s="9"/>
      <c r="J61" s="9"/>
      <c r="K61" s="9"/>
      <c r="L61" s="9"/>
      <c r="M61" s="9"/>
      <c r="N61" s="9"/>
      <c r="O61" s="46"/>
      <c r="P61" s="47"/>
      <c r="Q61" s="48"/>
      <c r="R61" s="49"/>
      <c r="S61" s="42"/>
      <c r="T61" s="42"/>
    </row>
    <row r="62" spans="5:20" ht="31.15" customHeight="1">
      <c r="E62" s="9"/>
      <c r="F62" s="16"/>
      <c r="G62" s="16"/>
      <c r="H62" s="16"/>
      <c r="I62" s="9"/>
      <c r="J62" s="9"/>
      <c r="K62" s="9"/>
      <c r="L62" s="9"/>
      <c r="M62" s="9"/>
      <c r="N62" s="9"/>
      <c r="O62" s="46"/>
      <c r="P62" s="47"/>
      <c r="Q62" s="48"/>
      <c r="R62" s="49"/>
      <c r="S62" s="42"/>
      <c r="T62" s="42"/>
    </row>
    <row r="63" spans="5:20" ht="31.15" customHeight="1">
      <c r="E63" s="9"/>
      <c r="F63" s="16"/>
      <c r="G63" s="16"/>
      <c r="H63" s="16"/>
      <c r="I63" s="9"/>
      <c r="J63" s="9"/>
      <c r="K63" s="9"/>
      <c r="L63" s="9"/>
      <c r="M63" s="9"/>
      <c r="N63" s="9"/>
      <c r="O63" s="46"/>
      <c r="P63" s="47"/>
      <c r="Q63" s="48"/>
      <c r="R63" s="49"/>
      <c r="S63" s="42"/>
      <c r="T63" s="42"/>
    </row>
    <row r="64" spans="5:20" ht="31.15" customHeight="1">
      <c r="E64" s="9"/>
      <c r="F64" s="16"/>
      <c r="G64" s="16"/>
      <c r="H64" s="16"/>
      <c r="I64" s="9"/>
      <c r="J64" s="9"/>
      <c r="K64" s="9"/>
      <c r="L64" s="9"/>
      <c r="M64" s="9"/>
      <c r="N64" s="9"/>
      <c r="O64" s="46"/>
      <c r="P64" s="47"/>
      <c r="Q64" s="48"/>
      <c r="R64" s="49"/>
      <c r="S64" s="42"/>
      <c r="T64" s="42"/>
    </row>
    <row r="65" spans="5:20" ht="31.15" customHeight="1">
      <c r="E65" s="9"/>
      <c r="F65" s="16"/>
      <c r="G65" s="16"/>
      <c r="H65" s="16"/>
      <c r="I65" s="9"/>
      <c r="J65" s="9"/>
      <c r="K65" s="9"/>
      <c r="L65" s="9"/>
      <c r="M65" s="9"/>
      <c r="N65" s="9"/>
      <c r="O65" s="46"/>
      <c r="P65" s="47"/>
      <c r="Q65" s="48"/>
      <c r="R65" s="49"/>
      <c r="S65" s="42"/>
      <c r="T65" s="42"/>
    </row>
    <row r="66" spans="5:20" ht="31.15" customHeight="1">
      <c r="E66" s="9"/>
      <c r="F66" s="16"/>
      <c r="G66" s="16"/>
      <c r="H66" s="16"/>
      <c r="I66" s="9"/>
      <c r="J66" s="9"/>
      <c r="K66" s="9"/>
      <c r="L66" s="9"/>
      <c r="M66" s="9"/>
      <c r="N66" s="9"/>
      <c r="O66" s="46"/>
      <c r="P66" s="47"/>
      <c r="Q66" s="42"/>
      <c r="R66" s="49"/>
      <c r="S66" s="42"/>
      <c r="T66" s="42"/>
    </row>
    <row r="67" spans="5:20" ht="31.15" customHeight="1">
      <c r="E67" s="9"/>
      <c r="F67" s="16"/>
      <c r="G67" s="16"/>
      <c r="H67" s="16"/>
      <c r="I67" s="9"/>
      <c r="J67" s="9"/>
      <c r="K67" s="9"/>
      <c r="L67" s="9"/>
      <c r="M67" s="9"/>
      <c r="N67" s="9"/>
      <c r="O67" s="46"/>
      <c r="P67" s="47"/>
      <c r="Q67" s="42"/>
      <c r="R67" s="49"/>
      <c r="S67" s="42"/>
      <c r="T67" s="42"/>
    </row>
    <row r="68" spans="5:20" ht="31.15" customHeight="1">
      <c r="E68" s="9"/>
      <c r="F68" s="16"/>
      <c r="G68" s="16"/>
      <c r="H68" s="16"/>
      <c r="I68" s="9"/>
      <c r="J68" s="9"/>
      <c r="K68" s="9"/>
      <c r="L68" s="9"/>
      <c r="M68" s="9"/>
      <c r="N68" s="9"/>
      <c r="O68" s="46"/>
      <c r="P68" s="47"/>
      <c r="Q68" s="42"/>
      <c r="R68" s="49"/>
      <c r="S68" s="42"/>
      <c r="T68" s="42"/>
    </row>
    <row r="69" spans="5:20" ht="31.15" customHeight="1">
      <c r="E69" s="9"/>
      <c r="F69" s="16"/>
      <c r="G69" s="16"/>
      <c r="H69" s="16"/>
      <c r="I69" s="9"/>
      <c r="J69" s="9"/>
      <c r="K69" s="9"/>
      <c r="L69" s="9"/>
      <c r="M69" s="9"/>
      <c r="N69" s="9"/>
      <c r="O69" s="46"/>
      <c r="P69" s="47"/>
      <c r="Q69" s="42"/>
      <c r="R69" s="49"/>
      <c r="S69" s="42"/>
      <c r="T69" s="42"/>
    </row>
    <row r="70" spans="5:20" ht="31.15" customHeight="1">
      <c r="E70" s="9"/>
      <c r="F70" s="16"/>
      <c r="G70" s="16"/>
      <c r="H70" s="16"/>
      <c r="I70" s="9"/>
      <c r="J70" s="9"/>
      <c r="K70" s="9"/>
      <c r="L70" s="9"/>
      <c r="M70" s="9"/>
      <c r="N70" s="9"/>
      <c r="O70" s="46"/>
      <c r="P70" s="47"/>
      <c r="Q70" s="42"/>
      <c r="R70" s="49"/>
      <c r="S70" s="42"/>
      <c r="T70" s="42"/>
    </row>
    <row r="71" spans="5:20" ht="31.15" customHeight="1">
      <c r="E71" s="9"/>
      <c r="F71" s="16"/>
      <c r="G71" s="16"/>
      <c r="H71" s="16"/>
      <c r="I71" s="9"/>
      <c r="J71" s="9"/>
      <c r="K71" s="9"/>
      <c r="L71" s="9"/>
      <c r="M71" s="9"/>
      <c r="N71" s="9"/>
      <c r="O71" s="46"/>
      <c r="P71" s="47"/>
      <c r="Q71" s="42"/>
      <c r="R71" s="49"/>
      <c r="S71" s="42"/>
      <c r="T71" s="42"/>
    </row>
    <row r="72" spans="5:20" ht="31.15" customHeight="1">
      <c r="E72" s="9"/>
      <c r="F72" s="16"/>
      <c r="G72" s="16"/>
      <c r="H72" s="16"/>
      <c r="I72" s="9"/>
      <c r="J72" s="9"/>
      <c r="K72" s="9"/>
      <c r="L72" s="9"/>
      <c r="M72" s="9"/>
      <c r="N72" s="9"/>
      <c r="O72" s="46"/>
      <c r="P72" s="47"/>
      <c r="Q72" s="42"/>
      <c r="R72" s="49"/>
      <c r="S72" s="42"/>
      <c r="T72" s="42"/>
    </row>
    <row r="73" spans="5:20" ht="31.15" customHeight="1">
      <c r="E73" s="9"/>
      <c r="F73" s="16"/>
      <c r="G73" s="16"/>
      <c r="H73" s="16"/>
      <c r="I73" s="9"/>
      <c r="J73" s="9"/>
      <c r="K73" s="9"/>
      <c r="L73" s="9"/>
      <c r="M73" s="9"/>
      <c r="N73" s="9"/>
      <c r="O73" s="46"/>
      <c r="P73" s="47"/>
      <c r="Q73" s="42"/>
      <c r="R73" s="49"/>
      <c r="S73" s="42"/>
      <c r="T73" s="42"/>
    </row>
    <row r="74" spans="5:20" ht="31.15" customHeight="1">
      <c r="E74" s="9"/>
      <c r="F74" s="16"/>
      <c r="G74" s="16"/>
      <c r="H74" s="16"/>
      <c r="I74" s="9"/>
      <c r="J74" s="9"/>
      <c r="K74" s="9"/>
      <c r="L74" s="9"/>
      <c r="M74" s="9"/>
      <c r="N74" s="9"/>
      <c r="O74" s="46"/>
      <c r="P74" s="47"/>
      <c r="Q74" s="42"/>
      <c r="R74" s="49"/>
      <c r="S74" s="42"/>
      <c r="T74" s="42"/>
    </row>
    <row r="75" spans="5:20" ht="31.15" customHeight="1">
      <c r="E75" s="9"/>
      <c r="F75" s="16"/>
      <c r="G75" s="16"/>
      <c r="H75" s="16"/>
      <c r="I75" s="9"/>
      <c r="J75" s="9"/>
      <c r="K75" s="9"/>
      <c r="L75" s="9"/>
      <c r="M75" s="9"/>
      <c r="N75" s="9"/>
      <c r="O75" s="46"/>
      <c r="P75" s="47"/>
      <c r="Q75" s="42"/>
      <c r="R75" s="49"/>
      <c r="S75" s="42"/>
      <c r="T75" s="42"/>
    </row>
    <row r="76" spans="5:20" ht="31.15" customHeight="1">
      <c r="E76" s="9"/>
      <c r="F76" s="16"/>
      <c r="G76" s="16"/>
      <c r="H76" s="16"/>
      <c r="I76" s="9"/>
      <c r="J76" s="9"/>
      <c r="K76" s="9"/>
      <c r="L76" s="9"/>
      <c r="M76" s="9"/>
      <c r="N76" s="9"/>
      <c r="O76" s="46"/>
      <c r="P76" s="47"/>
      <c r="Q76" s="42"/>
      <c r="R76" s="49"/>
      <c r="S76" s="42"/>
      <c r="T76" s="42"/>
    </row>
    <row r="77" spans="5:20" ht="31.15" customHeight="1">
      <c r="E77" s="9"/>
      <c r="F77" s="16"/>
      <c r="G77" s="16"/>
      <c r="H77" s="16"/>
      <c r="I77" s="9"/>
      <c r="J77" s="9"/>
      <c r="K77" s="9"/>
      <c r="L77" s="9"/>
      <c r="M77" s="9"/>
      <c r="N77" s="9"/>
      <c r="O77" s="46"/>
      <c r="P77" s="47"/>
      <c r="Q77" s="42"/>
      <c r="R77" s="49"/>
      <c r="S77" s="42"/>
      <c r="T77" s="42"/>
    </row>
    <row r="78" spans="5:20" ht="31.15" customHeight="1">
      <c r="E78" s="9"/>
      <c r="F78" s="16"/>
      <c r="G78" s="16"/>
      <c r="H78" s="16"/>
      <c r="I78" s="9"/>
      <c r="J78" s="9"/>
      <c r="K78" s="9"/>
      <c r="L78" s="9"/>
      <c r="M78" s="9"/>
      <c r="N78" s="9"/>
      <c r="O78" s="46"/>
      <c r="P78" s="47"/>
      <c r="Q78" s="42"/>
      <c r="R78" s="49"/>
      <c r="S78" s="42"/>
      <c r="T78" s="42"/>
    </row>
    <row r="79" spans="5:20" ht="31.15" customHeight="1">
      <c r="E79" s="9"/>
      <c r="F79" s="16"/>
      <c r="G79" s="16"/>
      <c r="H79" s="16"/>
      <c r="I79" s="9"/>
      <c r="J79" s="9"/>
      <c r="K79" s="9"/>
      <c r="L79" s="9"/>
      <c r="M79" s="9"/>
      <c r="N79" s="9"/>
      <c r="O79" s="46"/>
      <c r="P79" s="47"/>
      <c r="Q79" s="42"/>
      <c r="R79" s="49"/>
      <c r="S79" s="42"/>
      <c r="T79" s="42"/>
    </row>
    <row r="80" spans="5:20" ht="31.15" customHeight="1">
      <c r="E80" s="9"/>
      <c r="F80" s="16"/>
      <c r="G80" s="16"/>
      <c r="H80" s="16"/>
      <c r="I80" s="9"/>
      <c r="J80" s="9"/>
      <c r="K80" s="9"/>
      <c r="L80" s="9"/>
      <c r="M80" s="9"/>
      <c r="N80" s="9"/>
      <c r="O80" s="46"/>
      <c r="P80" s="47"/>
      <c r="Q80" s="42"/>
      <c r="R80" s="49"/>
      <c r="S80" s="42"/>
      <c r="T80" s="42"/>
    </row>
    <row r="81" spans="5:20" ht="31.15" customHeight="1">
      <c r="E81" s="9"/>
      <c r="F81" s="16"/>
      <c r="G81" s="16"/>
      <c r="H81" s="16"/>
      <c r="I81" s="9"/>
      <c r="J81" s="9"/>
      <c r="K81" s="9"/>
      <c r="L81" s="9"/>
      <c r="M81" s="9"/>
      <c r="N81" s="9"/>
      <c r="O81" s="46"/>
      <c r="P81" s="47"/>
      <c r="Q81" s="42"/>
      <c r="R81" s="49"/>
      <c r="S81" s="42"/>
      <c r="T81" s="42"/>
    </row>
    <row r="82" spans="5:20" ht="31.15" customHeight="1">
      <c r="E82" s="9"/>
      <c r="F82" s="16"/>
      <c r="G82" s="16"/>
      <c r="H82" s="16"/>
      <c r="I82" s="9"/>
      <c r="J82" s="9"/>
      <c r="K82" s="9"/>
      <c r="L82" s="9"/>
      <c r="M82" s="9"/>
      <c r="N82" s="9"/>
      <c r="O82" s="46"/>
      <c r="P82" s="47"/>
      <c r="Q82" s="42"/>
      <c r="R82" s="49"/>
      <c r="S82" s="42"/>
      <c r="T82" s="42"/>
    </row>
    <row r="83" spans="5:20" ht="31.15" customHeight="1">
      <c r="E83" s="9"/>
      <c r="F83" s="16"/>
      <c r="G83" s="16"/>
      <c r="H83" s="16"/>
      <c r="I83" s="9"/>
      <c r="J83" s="9"/>
      <c r="K83" s="9"/>
      <c r="L83" s="9"/>
      <c r="M83" s="9"/>
      <c r="N83" s="9"/>
      <c r="O83" s="46"/>
      <c r="P83" s="47"/>
      <c r="Q83" s="42"/>
      <c r="R83" s="49"/>
      <c r="S83" s="42"/>
      <c r="T83" s="42"/>
    </row>
    <row r="84" spans="5:20" ht="31.15" customHeight="1">
      <c r="E84" s="9"/>
      <c r="F84" s="16"/>
      <c r="G84" s="16"/>
      <c r="H84" s="16"/>
      <c r="I84" s="9"/>
      <c r="J84" s="9"/>
      <c r="K84" s="9"/>
      <c r="L84" s="9"/>
      <c r="M84" s="9"/>
      <c r="N84" s="9"/>
      <c r="O84" s="46"/>
      <c r="P84" s="47"/>
      <c r="Q84" s="42"/>
      <c r="R84" s="49"/>
      <c r="S84" s="42"/>
      <c r="T84" s="42"/>
    </row>
    <row r="85" spans="5:20" ht="31.15" customHeight="1">
      <c r="E85" s="9"/>
      <c r="F85" s="16"/>
      <c r="G85" s="16"/>
      <c r="H85" s="16"/>
      <c r="I85" s="9"/>
      <c r="J85" s="9"/>
      <c r="K85" s="9"/>
      <c r="L85" s="9"/>
      <c r="M85" s="9"/>
      <c r="N85" s="9"/>
      <c r="O85" s="46"/>
      <c r="P85" s="47"/>
      <c r="Q85" s="42"/>
      <c r="R85" s="49"/>
      <c r="S85" s="42"/>
      <c r="T85" s="42"/>
    </row>
    <row r="86" spans="5:20" ht="31.15" customHeight="1">
      <c r="E86" s="9"/>
      <c r="F86" s="16"/>
      <c r="G86" s="16"/>
      <c r="H86" s="16"/>
      <c r="I86" s="9"/>
      <c r="J86" s="9"/>
      <c r="K86" s="9"/>
      <c r="L86" s="9"/>
      <c r="M86" s="9"/>
      <c r="N86" s="9"/>
      <c r="O86" s="46"/>
      <c r="P86" s="47"/>
      <c r="Q86" s="42"/>
      <c r="R86" s="49"/>
      <c r="S86" s="42"/>
      <c r="T86" s="42"/>
    </row>
    <row r="87" spans="5:20" ht="31.15" customHeight="1">
      <c r="E87" s="9"/>
      <c r="F87" s="16"/>
      <c r="G87" s="16"/>
      <c r="H87" s="16"/>
      <c r="I87" s="9"/>
      <c r="J87" s="9"/>
      <c r="K87" s="9"/>
      <c r="L87" s="9"/>
      <c r="M87" s="9"/>
      <c r="N87" s="9"/>
      <c r="O87" s="46"/>
      <c r="P87" s="47"/>
      <c r="Q87" s="42"/>
      <c r="R87" s="49"/>
      <c r="S87" s="42"/>
      <c r="T87" s="42"/>
    </row>
    <row r="88" spans="5:20" ht="31.15" customHeight="1">
      <c r="E88" s="9"/>
      <c r="F88" s="16"/>
      <c r="G88" s="16"/>
      <c r="H88" s="16"/>
      <c r="I88" s="9"/>
      <c r="J88" s="9"/>
      <c r="K88" s="9"/>
      <c r="L88" s="9"/>
      <c r="M88" s="9"/>
      <c r="N88" s="9"/>
      <c r="O88" s="46"/>
      <c r="P88" s="47"/>
      <c r="Q88" s="42"/>
      <c r="R88" s="49"/>
      <c r="S88" s="42"/>
      <c r="T88" s="42"/>
    </row>
    <row r="89" spans="5:20" ht="31.15" customHeight="1">
      <c r="E89" s="9"/>
      <c r="F89" s="16"/>
      <c r="G89" s="16"/>
      <c r="H89" s="16"/>
      <c r="I89" s="9"/>
      <c r="J89" s="9"/>
      <c r="K89" s="9"/>
      <c r="L89" s="9"/>
      <c r="M89" s="9"/>
      <c r="N89" s="9"/>
      <c r="O89" s="46"/>
      <c r="P89" s="47"/>
      <c r="Q89" s="42"/>
      <c r="R89" s="49"/>
      <c r="S89" s="42"/>
      <c r="T89" s="42"/>
    </row>
    <row r="90" spans="5:20" ht="31.15" customHeight="1">
      <c r="E90" s="9"/>
      <c r="F90" s="16"/>
      <c r="G90" s="16"/>
      <c r="H90" s="16"/>
      <c r="I90" s="9"/>
      <c r="J90" s="9"/>
      <c r="K90" s="9"/>
      <c r="L90" s="9"/>
      <c r="M90" s="9"/>
      <c r="N90" s="9"/>
      <c r="O90" s="46"/>
      <c r="P90" s="47"/>
      <c r="Q90" s="42"/>
      <c r="R90" s="49"/>
      <c r="S90" s="42"/>
      <c r="T90" s="42"/>
    </row>
    <row r="91" spans="5:20" ht="31.15" customHeight="1">
      <c r="E91" s="9"/>
      <c r="F91" s="16"/>
      <c r="G91" s="16"/>
      <c r="H91" s="16"/>
      <c r="I91" s="9"/>
      <c r="J91" s="9"/>
      <c r="K91" s="9"/>
      <c r="L91" s="9"/>
      <c r="M91" s="9"/>
      <c r="N91" s="9"/>
      <c r="O91" s="46"/>
      <c r="P91" s="47"/>
      <c r="Q91" s="42"/>
      <c r="R91" s="49"/>
      <c r="S91" s="42"/>
      <c r="T91" s="42"/>
    </row>
    <row r="92" spans="5:20" ht="31.15" customHeight="1">
      <c r="E92" s="9"/>
      <c r="F92" s="16"/>
      <c r="G92" s="16"/>
      <c r="H92" s="16"/>
      <c r="I92" s="9"/>
      <c r="J92" s="9"/>
      <c r="K92" s="9"/>
      <c r="L92" s="9"/>
      <c r="M92" s="9"/>
      <c r="N92" s="9"/>
      <c r="O92" s="46"/>
      <c r="P92" s="42"/>
      <c r="Q92" s="42"/>
      <c r="R92" s="50"/>
      <c r="S92" s="42"/>
      <c r="T92" s="42"/>
    </row>
    <row r="93" spans="5:20" ht="31.15" customHeight="1">
      <c r="E93" s="9"/>
      <c r="F93" s="16"/>
      <c r="G93" s="16"/>
      <c r="H93" s="16"/>
      <c r="I93" s="9"/>
      <c r="J93" s="9"/>
      <c r="K93" s="9"/>
      <c r="L93" s="9"/>
      <c r="M93" s="9"/>
      <c r="N93" s="9"/>
      <c r="O93" s="46"/>
      <c r="P93" s="42"/>
      <c r="Q93" s="42"/>
      <c r="R93" s="50"/>
      <c r="S93" s="42"/>
      <c r="T93" s="42"/>
    </row>
    <row r="94" spans="5:20" ht="31.15" customHeight="1">
      <c r="E94" s="9"/>
      <c r="F94" s="16"/>
      <c r="G94" s="16"/>
      <c r="H94" s="16"/>
      <c r="I94" s="9"/>
      <c r="J94" s="9"/>
      <c r="K94" s="9"/>
      <c r="L94" s="9"/>
      <c r="M94" s="9"/>
      <c r="N94" s="9"/>
      <c r="O94" s="46"/>
      <c r="P94" s="42"/>
      <c r="Q94" s="42"/>
      <c r="R94" s="50"/>
      <c r="S94" s="42"/>
      <c r="T94" s="42"/>
    </row>
    <row r="95" spans="5:20" ht="31.15" customHeight="1">
      <c r="E95" s="9"/>
      <c r="F95" s="16"/>
      <c r="G95" s="16"/>
      <c r="H95" s="16"/>
      <c r="I95" s="9"/>
      <c r="J95" s="9"/>
      <c r="K95" s="9"/>
      <c r="L95" s="9"/>
      <c r="M95" s="9"/>
      <c r="N95" s="9"/>
      <c r="O95" s="46"/>
      <c r="P95" s="42"/>
      <c r="Q95" s="42"/>
      <c r="R95" s="50"/>
      <c r="S95" s="42"/>
      <c r="T95" s="42"/>
    </row>
    <row r="96" spans="5:20" ht="31.15" customHeight="1">
      <c r="E96" s="9"/>
      <c r="F96" s="16"/>
      <c r="G96" s="16"/>
      <c r="H96" s="16"/>
      <c r="I96" s="9"/>
      <c r="J96" s="9"/>
      <c r="K96" s="9"/>
      <c r="L96" s="9"/>
      <c r="M96" s="9"/>
      <c r="N96" s="9"/>
      <c r="O96" s="46"/>
      <c r="P96" s="42"/>
      <c r="Q96" s="42"/>
      <c r="R96" s="50"/>
      <c r="S96" s="42"/>
      <c r="T96" s="42"/>
    </row>
    <row r="97" spans="5:20" ht="31.15" customHeight="1">
      <c r="E97" s="9"/>
      <c r="F97" s="16"/>
      <c r="G97" s="16"/>
      <c r="H97" s="16"/>
      <c r="I97" s="9"/>
      <c r="J97" s="9"/>
      <c r="K97" s="9"/>
      <c r="L97" s="9"/>
      <c r="M97" s="9"/>
      <c r="N97" s="9"/>
      <c r="O97" s="46"/>
      <c r="P97" s="42"/>
      <c r="Q97" s="42"/>
      <c r="R97" s="50"/>
      <c r="S97" s="42"/>
      <c r="T97" s="42"/>
    </row>
    <row r="98" spans="5:20" ht="31.15" customHeight="1">
      <c r="E98" s="9"/>
      <c r="F98" s="16"/>
      <c r="G98" s="16"/>
      <c r="H98" s="16"/>
      <c r="I98" s="9"/>
      <c r="J98" s="9"/>
      <c r="K98" s="9"/>
      <c r="L98" s="9"/>
      <c r="M98" s="9"/>
      <c r="N98" s="9"/>
      <c r="O98" s="46"/>
      <c r="P98" s="42"/>
      <c r="Q98" s="42"/>
      <c r="R98" s="50"/>
      <c r="S98" s="42"/>
      <c r="T98" s="42"/>
    </row>
    <row r="99" spans="5:20" ht="31.15" customHeight="1">
      <c r="E99" s="9"/>
      <c r="F99" s="16"/>
      <c r="G99" s="16"/>
      <c r="H99" s="16"/>
      <c r="I99" s="9"/>
      <c r="J99" s="9"/>
      <c r="K99" s="9"/>
      <c r="L99" s="9"/>
      <c r="M99" s="9"/>
      <c r="N99" s="9"/>
      <c r="O99" s="46"/>
      <c r="P99" s="42"/>
      <c r="Q99" s="42"/>
      <c r="R99" s="50"/>
      <c r="S99" s="42"/>
      <c r="T99" s="42"/>
    </row>
    <row r="100" spans="5:20" ht="31.15" customHeight="1">
      <c r="E100" s="9"/>
      <c r="F100" s="16"/>
      <c r="G100" s="16"/>
      <c r="H100" s="16"/>
      <c r="I100" s="9"/>
      <c r="J100" s="9"/>
      <c r="K100" s="9"/>
      <c r="L100" s="9"/>
      <c r="M100" s="9"/>
      <c r="N100" s="9"/>
      <c r="O100" s="46"/>
      <c r="P100" s="42"/>
      <c r="Q100" s="42"/>
      <c r="R100" s="50"/>
      <c r="S100" s="42"/>
      <c r="T100" s="42"/>
    </row>
    <row r="101" spans="5:20" ht="31.15" customHeight="1">
      <c r="E101" s="9"/>
      <c r="F101" s="16"/>
      <c r="G101" s="16"/>
      <c r="H101" s="16"/>
      <c r="I101" s="9"/>
      <c r="J101" s="9"/>
      <c r="K101" s="9"/>
      <c r="L101" s="9"/>
      <c r="M101" s="9"/>
      <c r="N101" s="9"/>
      <c r="O101" s="46"/>
      <c r="P101" s="42"/>
      <c r="Q101" s="42"/>
      <c r="R101" s="50"/>
      <c r="S101" s="42"/>
      <c r="T101" s="42"/>
    </row>
    <row r="102" spans="5:20" ht="31.15" customHeight="1">
      <c r="E102" s="9"/>
      <c r="F102" s="16"/>
      <c r="G102" s="16"/>
      <c r="H102" s="16"/>
      <c r="I102" s="9"/>
      <c r="J102" s="9"/>
      <c r="K102" s="9"/>
      <c r="L102" s="9"/>
      <c r="M102" s="9"/>
      <c r="N102" s="9"/>
      <c r="O102" s="46"/>
      <c r="P102" s="42"/>
      <c r="Q102" s="42"/>
      <c r="R102" s="50"/>
      <c r="S102" s="42"/>
      <c r="T102" s="42"/>
    </row>
    <row r="103" spans="5:20" ht="31.15" customHeight="1">
      <c r="E103" s="9"/>
      <c r="F103" s="16"/>
      <c r="G103" s="16"/>
      <c r="H103" s="16"/>
      <c r="I103" s="9"/>
      <c r="J103" s="9"/>
      <c r="K103" s="9"/>
      <c r="L103" s="9"/>
      <c r="M103" s="9"/>
      <c r="N103" s="9"/>
      <c r="O103" s="46"/>
      <c r="P103" s="42"/>
      <c r="Q103" s="42"/>
      <c r="R103" s="50"/>
      <c r="S103" s="42"/>
      <c r="T103" s="42"/>
    </row>
    <row r="104" spans="5:20" ht="31.15" customHeight="1">
      <c r="E104" s="9"/>
      <c r="F104" s="16"/>
      <c r="G104" s="16"/>
      <c r="H104" s="16"/>
      <c r="I104" s="9"/>
      <c r="J104" s="9"/>
      <c r="K104" s="9"/>
      <c r="L104" s="9"/>
      <c r="M104" s="9"/>
      <c r="N104" s="9"/>
      <c r="O104" s="46"/>
      <c r="P104" s="42"/>
      <c r="Q104" s="42"/>
      <c r="R104" s="50"/>
      <c r="S104" s="42"/>
      <c r="T104" s="42"/>
    </row>
    <row r="105" spans="5:20" ht="31.15" customHeight="1">
      <c r="E105" s="9"/>
      <c r="F105" s="16"/>
      <c r="G105" s="16"/>
      <c r="H105" s="16"/>
      <c r="I105" s="9"/>
      <c r="J105" s="9"/>
      <c r="K105" s="9"/>
      <c r="L105" s="9"/>
      <c r="M105" s="9"/>
      <c r="N105" s="9"/>
      <c r="O105" s="46"/>
      <c r="P105" s="42"/>
      <c r="Q105" s="42"/>
      <c r="R105" s="50"/>
      <c r="S105" s="42"/>
      <c r="T105" s="42"/>
    </row>
    <row r="106" spans="5:20" ht="31.15" customHeight="1">
      <c r="E106" s="9"/>
      <c r="F106" s="16"/>
      <c r="G106" s="16"/>
      <c r="H106" s="16"/>
      <c r="I106" s="9"/>
      <c r="J106" s="9"/>
      <c r="K106" s="9"/>
      <c r="L106" s="9"/>
      <c r="M106" s="9"/>
      <c r="N106" s="9"/>
      <c r="O106" s="46"/>
      <c r="P106" s="42"/>
      <c r="Q106" s="42"/>
      <c r="R106" s="50"/>
      <c r="S106" s="42"/>
      <c r="T106" s="42"/>
    </row>
    <row r="107" spans="5:20" ht="31.15" customHeight="1">
      <c r="E107" s="9"/>
      <c r="F107" s="16"/>
      <c r="G107" s="16"/>
      <c r="H107" s="16"/>
      <c r="I107" s="9"/>
      <c r="J107" s="9"/>
      <c r="K107" s="9"/>
      <c r="L107" s="9"/>
      <c r="M107" s="9"/>
      <c r="N107" s="9"/>
      <c r="O107" s="46"/>
      <c r="P107" s="42"/>
      <c r="Q107" s="42"/>
      <c r="R107" s="50"/>
      <c r="S107" s="42"/>
      <c r="T107" s="42"/>
    </row>
    <row r="108" spans="5:20" ht="31.15" customHeight="1">
      <c r="E108" s="9"/>
      <c r="F108" s="16"/>
      <c r="G108" s="16"/>
      <c r="H108" s="16"/>
      <c r="I108" s="9"/>
      <c r="J108" s="9"/>
      <c r="K108" s="9"/>
      <c r="L108" s="9"/>
      <c r="M108" s="9"/>
      <c r="N108" s="9"/>
      <c r="O108" s="46"/>
      <c r="P108" s="42"/>
      <c r="Q108" s="42"/>
      <c r="R108" s="50"/>
      <c r="S108" s="42"/>
      <c r="T108" s="42"/>
    </row>
    <row r="109" spans="5:20" ht="31.15" customHeight="1">
      <c r="E109" s="9"/>
      <c r="F109" s="16"/>
      <c r="G109" s="16"/>
      <c r="H109" s="16"/>
      <c r="I109" s="9"/>
      <c r="J109" s="9"/>
      <c r="K109" s="9"/>
      <c r="L109" s="9"/>
      <c r="M109" s="9"/>
      <c r="N109" s="9"/>
      <c r="O109" s="46"/>
      <c r="P109" s="42"/>
      <c r="Q109" s="42"/>
      <c r="R109" s="50"/>
      <c r="S109" s="42"/>
      <c r="T109" s="42"/>
    </row>
    <row r="110" spans="5:20" ht="31.15" customHeight="1">
      <c r="E110" s="9"/>
      <c r="F110" s="16"/>
      <c r="G110" s="16"/>
      <c r="H110" s="16"/>
      <c r="I110" s="9"/>
      <c r="J110" s="9"/>
      <c r="K110" s="9"/>
      <c r="L110" s="9"/>
      <c r="M110" s="9"/>
      <c r="N110" s="9"/>
      <c r="O110" s="46"/>
      <c r="P110" s="42"/>
      <c r="Q110" s="42"/>
      <c r="R110" s="50"/>
      <c r="S110" s="42"/>
      <c r="T110" s="42"/>
    </row>
    <row r="111" spans="5:20" ht="31.15" customHeight="1">
      <c r="E111" s="9"/>
      <c r="F111" s="16"/>
      <c r="G111" s="16"/>
      <c r="H111" s="16"/>
      <c r="I111" s="9"/>
      <c r="J111" s="9"/>
      <c r="K111" s="9"/>
      <c r="L111" s="9"/>
      <c r="M111" s="9"/>
      <c r="N111" s="9"/>
      <c r="O111" s="46"/>
      <c r="P111" s="42"/>
      <c r="Q111" s="42"/>
      <c r="R111" s="50"/>
      <c r="S111" s="42"/>
      <c r="T111" s="42"/>
    </row>
    <row r="112" spans="5:20" ht="31.15" customHeight="1">
      <c r="E112" s="9"/>
      <c r="F112" s="16"/>
      <c r="G112" s="16"/>
      <c r="H112" s="16"/>
      <c r="I112" s="9"/>
      <c r="J112" s="9"/>
      <c r="K112" s="9"/>
      <c r="L112" s="9"/>
      <c r="M112" s="9"/>
      <c r="N112" s="9"/>
      <c r="O112" s="46"/>
      <c r="P112" s="42"/>
      <c r="Q112" s="42"/>
      <c r="R112" s="50"/>
      <c r="S112" s="42"/>
      <c r="T112" s="42"/>
    </row>
    <row r="113" spans="5:20" ht="31.15" customHeight="1">
      <c r="E113" s="9"/>
      <c r="F113" s="16"/>
      <c r="G113" s="16"/>
      <c r="H113" s="16"/>
      <c r="I113" s="9"/>
      <c r="J113" s="9"/>
      <c r="K113" s="9"/>
      <c r="L113" s="9"/>
      <c r="M113" s="9"/>
      <c r="N113" s="9"/>
      <c r="O113" s="46"/>
      <c r="P113" s="42"/>
      <c r="Q113" s="42"/>
      <c r="R113" s="50"/>
      <c r="S113" s="42"/>
      <c r="T113" s="42"/>
    </row>
    <row r="114" spans="5:20" ht="31.15" customHeight="1">
      <c r="E114" s="9"/>
      <c r="F114" s="16"/>
      <c r="G114" s="16"/>
      <c r="H114" s="16"/>
      <c r="I114" s="9"/>
      <c r="J114" s="9"/>
      <c r="K114" s="9"/>
      <c r="L114" s="9"/>
      <c r="M114" s="9"/>
      <c r="N114" s="9"/>
      <c r="O114" s="46"/>
      <c r="P114" s="42"/>
      <c r="Q114" s="42"/>
      <c r="R114" s="50"/>
      <c r="S114" s="42"/>
      <c r="T114" s="42"/>
    </row>
    <row r="115" spans="5:20" ht="31.15" customHeight="1">
      <c r="E115" s="9"/>
      <c r="F115" s="16"/>
      <c r="G115" s="16"/>
      <c r="H115" s="16"/>
      <c r="I115" s="9"/>
      <c r="J115" s="9"/>
      <c r="K115" s="9"/>
      <c r="L115" s="9"/>
      <c r="M115" s="9"/>
      <c r="N115" s="9"/>
      <c r="O115" s="46"/>
      <c r="P115" s="42"/>
      <c r="Q115" s="42"/>
      <c r="R115" s="50"/>
      <c r="S115" s="42"/>
      <c r="T115" s="42"/>
    </row>
    <row r="116" spans="5:20" ht="31.15" customHeight="1">
      <c r="E116" s="9"/>
      <c r="F116" s="16"/>
      <c r="G116" s="16"/>
      <c r="H116" s="16"/>
      <c r="I116" s="9"/>
      <c r="J116" s="9"/>
      <c r="K116" s="9"/>
      <c r="L116" s="9"/>
      <c r="M116" s="9"/>
      <c r="N116" s="9"/>
      <c r="O116" s="46"/>
      <c r="P116" s="42"/>
      <c r="Q116" s="42"/>
      <c r="R116" s="50"/>
      <c r="S116" s="42"/>
      <c r="T116" s="42"/>
    </row>
    <row r="117" spans="5:20" ht="31.15" customHeight="1">
      <c r="E117" s="9"/>
      <c r="F117" s="16"/>
      <c r="G117" s="16"/>
      <c r="H117" s="16"/>
      <c r="I117" s="9"/>
      <c r="J117" s="9"/>
      <c r="K117" s="9"/>
      <c r="L117" s="9"/>
      <c r="M117" s="9"/>
      <c r="N117" s="9"/>
      <c r="O117" s="46"/>
      <c r="P117" s="42"/>
      <c r="Q117" s="42"/>
      <c r="R117" s="50"/>
      <c r="S117" s="42"/>
      <c r="T117" s="42"/>
    </row>
    <row r="118" spans="5:20" ht="31.15" customHeight="1">
      <c r="E118" s="9"/>
      <c r="F118" s="16"/>
      <c r="G118" s="16"/>
      <c r="H118" s="16"/>
      <c r="I118" s="9"/>
      <c r="J118" s="9"/>
      <c r="K118" s="9"/>
      <c r="L118" s="9"/>
      <c r="M118" s="9"/>
      <c r="N118" s="9"/>
      <c r="O118" s="46"/>
      <c r="P118" s="42"/>
      <c r="Q118" s="42"/>
      <c r="R118" s="50"/>
      <c r="S118" s="42"/>
      <c r="T118" s="42"/>
    </row>
    <row r="119" spans="5:20" ht="31.15" customHeight="1">
      <c r="E119" s="9"/>
      <c r="F119" s="16"/>
      <c r="G119" s="16"/>
      <c r="H119" s="16"/>
      <c r="I119" s="9"/>
      <c r="J119" s="9"/>
      <c r="K119" s="9"/>
      <c r="L119" s="9"/>
      <c r="M119" s="9"/>
      <c r="N119" s="9"/>
      <c r="O119" s="46"/>
      <c r="P119" s="42"/>
      <c r="Q119" s="42"/>
      <c r="R119" s="50"/>
      <c r="S119" s="42"/>
      <c r="T119" s="42"/>
    </row>
    <row r="120" spans="5:20" ht="31.15" customHeight="1">
      <c r="E120" s="9"/>
      <c r="F120" s="16"/>
      <c r="G120" s="16"/>
      <c r="H120" s="16"/>
      <c r="I120" s="9"/>
      <c r="J120" s="9"/>
      <c r="K120" s="9"/>
      <c r="L120" s="9"/>
      <c r="M120" s="9"/>
      <c r="N120" s="9"/>
      <c r="O120" s="46"/>
      <c r="P120" s="42"/>
      <c r="Q120" s="42"/>
      <c r="R120" s="50"/>
      <c r="S120" s="42"/>
      <c r="T120" s="42"/>
    </row>
    <row r="121" spans="5:20" ht="31.15" customHeight="1">
      <c r="E121" s="9"/>
      <c r="F121" s="16"/>
      <c r="G121" s="16"/>
      <c r="H121" s="16"/>
      <c r="I121" s="9"/>
      <c r="J121" s="9"/>
      <c r="K121" s="9"/>
      <c r="L121" s="9"/>
      <c r="M121" s="9"/>
      <c r="N121" s="9"/>
      <c r="O121" s="46"/>
      <c r="P121" s="42"/>
      <c r="Q121" s="42"/>
      <c r="R121" s="50"/>
      <c r="S121" s="42"/>
      <c r="T121" s="42"/>
    </row>
    <row r="122" spans="5:20" ht="31.15" customHeight="1">
      <c r="E122" s="9"/>
      <c r="F122" s="16"/>
      <c r="G122" s="16"/>
      <c r="H122" s="16"/>
      <c r="I122" s="9"/>
      <c r="J122" s="9"/>
      <c r="K122" s="9"/>
      <c r="L122" s="9"/>
      <c r="M122" s="9"/>
      <c r="N122" s="9"/>
      <c r="O122" s="46"/>
      <c r="P122" s="42"/>
      <c r="Q122" s="42"/>
      <c r="R122" s="50"/>
      <c r="S122" s="42"/>
      <c r="T122" s="42"/>
    </row>
    <row r="123" spans="5:20" ht="31.15" customHeight="1">
      <c r="E123" s="9"/>
      <c r="F123" s="16"/>
      <c r="G123" s="16"/>
      <c r="H123" s="16"/>
      <c r="I123" s="9"/>
      <c r="J123" s="9"/>
      <c r="K123" s="9"/>
      <c r="L123" s="9"/>
      <c r="M123" s="9"/>
      <c r="N123" s="9"/>
      <c r="O123" s="46"/>
      <c r="P123" s="42"/>
      <c r="Q123" s="42"/>
      <c r="R123" s="50"/>
      <c r="S123" s="42"/>
      <c r="T123" s="42"/>
    </row>
    <row r="124" spans="5:20" ht="31.15" customHeight="1">
      <c r="E124" s="9"/>
      <c r="F124" s="16"/>
      <c r="G124" s="16"/>
      <c r="H124" s="16"/>
      <c r="I124" s="9"/>
      <c r="J124" s="9"/>
      <c r="K124" s="9"/>
      <c r="L124" s="9"/>
      <c r="M124" s="9"/>
      <c r="N124" s="9"/>
      <c r="O124" s="46"/>
      <c r="P124" s="42"/>
      <c r="Q124" s="42"/>
      <c r="R124" s="50"/>
      <c r="S124" s="42"/>
      <c r="T124" s="42"/>
    </row>
    <row r="125" spans="5:20" ht="31.15" customHeight="1">
      <c r="E125" s="9"/>
      <c r="F125" s="16"/>
      <c r="G125" s="16"/>
      <c r="H125" s="16"/>
      <c r="I125" s="9"/>
      <c r="J125" s="9"/>
      <c r="K125" s="9"/>
      <c r="L125" s="9"/>
      <c r="M125" s="9"/>
      <c r="N125" s="9"/>
      <c r="O125" s="46"/>
      <c r="P125" s="42"/>
      <c r="Q125" s="42"/>
      <c r="R125" s="50"/>
      <c r="S125" s="42"/>
      <c r="T125" s="42"/>
    </row>
    <row r="126" spans="5:20" ht="31.15" customHeight="1">
      <c r="E126" s="9"/>
      <c r="F126" s="16"/>
      <c r="G126" s="16"/>
      <c r="H126" s="16"/>
      <c r="I126" s="9"/>
      <c r="J126" s="9"/>
      <c r="K126" s="9"/>
      <c r="L126" s="9"/>
      <c r="M126" s="9"/>
      <c r="N126" s="9"/>
      <c r="O126" s="46"/>
      <c r="P126" s="42"/>
      <c r="Q126" s="42"/>
      <c r="R126" s="50"/>
      <c r="S126" s="42"/>
      <c r="T126" s="42"/>
    </row>
    <row r="127" spans="5:20" ht="31.15" customHeight="1">
      <c r="E127" s="9"/>
      <c r="F127" s="16"/>
      <c r="G127" s="16"/>
      <c r="H127" s="16"/>
      <c r="I127" s="9"/>
      <c r="J127" s="9"/>
      <c r="K127" s="9"/>
      <c r="L127" s="9"/>
      <c r="M127" s="9"/>
      <c r="N127" s="9"/>
      <c r="O127" s="46"/>
      <c r="P127" s="42"/>
      <c r="Q127" s="42"/>
      <c r="R127" s="50"/>
      <c r="S127" s="42"/>
      <c r="T127" s="42"/>
    </row>
    <row r="128" spans="5:20" ht="31.15" customHeight="1">
      <c r="E128" s="9"/>
      <c r="F128" s="16"/>
      <c r="G128" s="16"/>
      <c r="H128" s="16"/>
      <c r="I128" s="9"/>
      <c r="J128" s="9"/>
      <c r="K128" s="9"/>
      <c r="L128" s="9"/>
      <c r="M128" s="9"/>
      <c r="N128" s="9"/>
      <c r="O128" s="46"/>
      <c r="P128" s="42"/>
      <c r="Q128" s="42"/>
      <c r="R128" s="50"/>
      <c r="S128" s="42"/>
      <c r="T128" s="42"/>
    </row>
    <row r="129" spans="5:20" ht="31.15" customHeight="1">
      <c r="E129" s="9"/>
      <c r="F129" s="16"/>
      <c r="G129" s="16"/>
      <c r="H129" s="16"/>
      <c r="I129" s="9"/>
      <c r="J129" s="9"/>
      <c r="K129" s="9"/>
      <c r="L129" s="9"/>
      <c r="M129" s="9"/>
      <c r="N129" s="9"/>
      <c r="O129" s="46"/>
      <c r="P129" s="42"/>
      <c r="Q129" s="42"/>
      <c r="R129" s="50"/>
      <c r="S129" s="42"/>
      <c r="T129" s="42"/>
    </row>
    <row r="130" spans="5:20" ht="31.15" customHeight="1">
      <c r="E130" s="9"/>
      <c r="F130" s="16"/>
      <c r="G130" s="16"/>
      <c r="H130" s="16"/>
      <c r="I130" s="9"/>
      <c r="J130" s="9"/>
      <c r="K130" s="9"/>
      <c r="L130" s="9"/>
      <c r="M130" s="9"/>
      <c r="N130" s="9"/>
      <c r="O130" s="46"/>
      <c r="P130" s="42"/>
      <c r="Q130" s="42"/>
      <c r="R130" s="50"/>
      <c r="S130" s="42"/>
      <c r="T130" s="42"/>
    </row>
    <row r="131" spans="5:20" ht="31.15" customHeight="1">
      <c r="E131" s="9"/>
      <c r="F131" s="16"/>
      <c r="G131" s="16"/>
      <c r="H131" s="16"/>
      <c r="I131" s="9"/>
      <c r="J131" s="9"/>
      <c r="K131" s="9"/>
      <c r="L131" s="9"/>
      <c r="M131" s="9"/>
      <c r="N131" s="9"/>
      <c r="O131" s="46"/>
      <c r="P131" s="42"/>
      <c r="Q131" s="42"/>
      <c r="R131" s="50"/>
      <c r="S131" s="42"/>
      <c r="T131" s="42"/>
    </row>
    <row r="132" spans="5:20" ht="31.15" customHeight="1">
      <c r="E132" s="9"/>
      <c r="F132" s="16"/>
      <c r="G132" s="16"/>
      <c r="H132" s="16"/>
      <c r="I132" s="9"/>
      <c r="J132" s="9"/>
      <c r="K132" s="9"/>
      <c r="L132" s="9"/>
      <c r="M132" s="9"/>
      <c r="N132" s="9"/>
      <c r="O132" s="46"/>
      <c r="P132" s="42"/>
      <c r="Q132" s="42"/>
      <c r="R132" s="50"/>
      <c r="S132" s="42"/>
      <c r="T132" s="42"/>
    </row>
    <row r="133" spans="5:20" ht="31.15" customHeight="1">
      <c r="E133" s="9"/>
      <c r="F133" s="16"/>
      <c r="G133" s="16"/>
      <c r="H133" s="16"/>
      <c r="I133" s="9"/>
      <c r="J133" s="9"/>
      <c r="K133" s="9"/>
      <c r="L133" s="9"/>
      <c r="M133" s="9"/>
      <c r="N133" s="9"/>
      <c r="O133" s="46"/>
      <c r="P133" s="42"/>
      <c r="Q133" s="42"/>
      <c r="R133" s="50"/>
      <c r="S133" s="42"/>
      <c r="T133" s="42"/>
    </row>
    <row r="134" spans="5:20" ht="31.15" customHeight="1">
      <c r="E134" s="9"/>
      <c r="F134" s="16"/>
      <c r="G134" s="16"/>
      <c r="H134" s="16"/>
      <c r="I134" s="9"/>
      <c r="J134" s="9"/>
      <c r="K134" s="9"/>
      <c r="L134" s="9"/>
      <c r="M134" s="9"/>
      <c r="N134" s="9"/>
      <c r="O134" s="46"/>
      <c r="P134" s="42"/>
      <c r="Q134" s="42"/>
      <c r="R134" s="50"/>
      <c r="S134" s="42"/>
      <c r="T134" s="42"/>
    </row>
    <row r="135" spans="5:20" ht="31.15" customHeight="1">
      <c r="E135" s="9"/>
      <c r="F135" s="16"/>
      <c r="G135" s="16"/>
      <c r="H135" s="16"/>
      <c r="I135" s="9"/>
      <c r="J135" s="9"/>
      <c r="K135" s="9"/>
      <c r="L135" s="9"/>
      <c r="M135" s="9"/>
      <c r="N135" s="9"/>
      <c r="O135" s="46"/>
      <c r="P135" s="42"/>
      <c r="Q135" s="42"/>
      <c r="R135" s="50"/>
      <c r="S135" s="42"/>
      <c r="T135" s="42"/>
    </row>
    <row r="136" spans="5:20" ht="31.15" customHeight="1">
      <c r="E136" s="9"/>
      <c r="F136" s="16"/>
      <c r="G136" s="16"/>
      <c r="H136" s="16"/>
      <c r="I136" s="9"/>
      <c r="J136" s="9"/>
      <c r="K136" s="9"/>
      <c r="L136" s="9"/>
      <c r="M136" s="9"/>
      <c r="N136" s="9"/>
      <c r="O136" s="46"/>
      <c r="P136" s="42"/>
      <c r="Q136" s="42"/>
      <c r="R136" s="50"/>
      <c r="S136" s="42"/>
      <c r="T136" s="42"/>
    </row>
    <row r="137" spans="5:20" ht="31.15" customHeight="1">
      <c r="E137" s="9"/>
      <c r="F137" s="16"/>
      <c r="G137" s="16"/>
      <c r="H137" s="16"/>
      <c r="I137" s="9"/>
      <c r="J137" s="9"/>
      <c r="K137" s="9"/>
      <c r="L137" s="9"/>
      <c r="M137" s="9"/>
      <c r="N137" s="9"/>
      <c r="O137" s="46"/>
      <c r="P137" s="42"/>
      <c r="Q137" s="42"/>
      <c r="R137" s="50"/>
      <c r="S137" s="42"/>
      <c r="T137" s="42"/>
    </row>
    <row r="138" spans="5:20" ht="31.15" customHeight="1">
      <c r="E138" s="9"/>
      <c r="F138" s="16"/>
      <c r="G138" s="16"/>
      <c r="H138" s="16"/>
      <c r="I138" s="9"/>
      <c r="J138" s="9"/>
      <c r="K138" s="9"/>
      <c r="L138" s="9"/>
      <c r="M138" s="9"/>
      <c r="N138" s="9"/>
      <c r="O138" s="46"/>
      <c r="P138" s="42"/>
      <c r="Q138" s="42"/>
      <c r="R138" s="50"/>
      <c r="S138" s="42"/>
      <c r="T138" s="42"/>
    </row>
    <row r="139" spans="5:20" ht="31.15" customHeight="1">
      <c r="E139" s="9"/>
      <c r="F139" s="16"/>
      <c r="G139" s="16"/>
      <c r="H139" s="16"/>
      <c r="I139" s="9"/>
      <c r="J139" s="9"/>
      <c r="K139" s="9"/>
      <c r="L139" s="9"/>
      <c r="M139" s="9"/>
      <c r="N139" s="9"/>
      <c r="O139" s="46"/>
      <c r="P139" s="42"/>
      <c r="Q139" s="42"/>
      <c r="R139" s="50"/>
      <c r="S139" s="42"/>
      <c r="T139" s="42"/>
    </row>
    <row r="140" spans="5:20" ht="31.15" customHeight="1">
      <c r="E140" s="9"/>
      <c r="F140" s="16"/>
      <c r="G140" s="16"/>
      <c r="H140" s="16"/>
      <c r="I140" s="9"/>
      <c r="J140" s="9"/>
      <c r="K140" s="9"/>
      <c r="L140" s="9"/>
      <c r="M140" s="9"/>
      <c r="N140" s="9"/>
      <c r="O140" s="46"/>
      <c r="P140" s="42"/>
      <c r="Q140" s="42"/>
      <c r="R140" s="50"/>
      <c r="S140" s="42"/>
      <c r="T140" s="42"/>
    </row>
    <row r="141" spans="5:20" ht="31.15" customHeight="1">
      <c r="E141" s="9"/>
      <c r="F141" s="16"/>
      <c r="G141" s="16"/>
      <c r="H141" s="16"/>
      <c r="I141" s="9"/>
      <c r="J141" s="9"/>
      <c r="K141" s="9"/>
      <c r="L141" s="9"/>
      <c r="M141" s="9"/>
      <c r="N141" s="9"/>
      <c r="O141" s="46"/>
      <c r="P141" s="42"/>
      <c r="Q141" s="42"/>
      <c r="R141" s="50"/>
      <c r="S141" s="42"/>
      <c r="T141" s="42"/>
    </row>
    <row r="142" spans="5:20" ht="31.15" customHeight="1">
      <c r="E142" s="9"/>
      <c r="F142" s="16"/>
      <c r="G142" s="16"/>
      <c r="H142" s="16"/>
      <c r="I142" s="9"/>
      <c r="J142" s="9"/>
      <c r="K142" s="9"/>
      <c r="L142" s="9"/>
      <c r="M142" s="9"/>
      <c r="N142" s="9"/>
      <c r="O142" s="46"/>
      <c r="P142" s="42"/>
      <c r="Q142" s="42"/>
      <c r="R142" s="50"/>
      <c r="S142" s="42"/>
      <c r="T142" s="42"/>
    </row>
    <row r="143" spans="5:20" ht="31.15" customHeight="1">
      <c r="E143" s="9"/>
      <c r="F143" s="16"/>
      <c r="G143" s="16"/>
      <c r="H143" s="16"/>
      <c r="I143" s="9"/>
      <c r="J143" s="9"/>
      <c r="K143" s="9"/>
      <c r="L143" s="9"/>
      <c r="M143" s="9"/>
      <c r="N143" s="9"/>
      <c r="O143" s="46"/>
      <c r="P143" s="42"/>
      <c r="Q143" s="42"/>
      <c r="R143" s="50"/>
      <c r="S143" s="42"/>
      <c r="T143" s="42"/>
    </row>
    <row r="144" spans="5:20" ht="31.15" customHeight="1">
      <c r="E144" s="9"/>
      <c r="F144" s="16"/>
      <c r="G144" s="16"/>
      <c r="H144" s="16"/>
      <c r="I144" s="9"/>
      <c r="J144" s="9"/>
      <c r="K144" s="9"/>
      <c r="L144" s="9"/>
      <c r="M144" s="9"/>
      <c r="N144" s="9"/>
      <c r="O144" s="46"/>
      <c r="P144" s="42"/>
      <c r="Q144" s="42"/>
      <c r="R144" s="50"/>
      <c r="S144" s="42"/>
      <c r="T144" s="42"/>
    </row>
    <row r="145" spans="5:20" ht="31.15" customHeight="1">
      <c r="E145" s="9"/>
      <c r="F145" s="16"/>
      <c r="G145" s="16"/>
      <c r="H145" s="16"/>
      <c r="I145" s="9"/>
      <c r="J145" s="9"/>
      <c r="K145" s="9"/>
      <c r="L145" s="9"/>
      <c r="M145" s="9"/>
      <c r="N145" s="9"/>
      <c r="O145" s="46"/>
      <c r="P145" s="42"/>
      <c r="Q145" s="42"/>
      <c r="R145" s="50"/>
      <c r="S145" s="42"/>
      <c r="T145" s="42"/>
    </row>
    <row r="146" spans="5:20" ht="31.15" customHeight="1">
      <c r="E146" s="9"/>
      <c r="F146" s="16"/>
      <c r="G146" s="16"/>
      <c r="H146" s="16"/>
      <c r="I146" s="9"/>
      <c r="J146" s="9"/>
      <c r="K146" s="9"/>
      <c r="L146" s="9"/>
      <c r="M146" s="9"/>
      <c r="N146" s="9"/>
      <c r="O146" s="46"/>
      <c r="P146" s="42"/>
      <c r="Q146" s="42"/>
      <c r="R146" s="50"/>
      <c r="S146" s="42"/>
      <c r="T146" s="42"/>
    </row>
    <row r="147" spans="5:20" ht="31.15" customHeight="1">
      <c r="E147" s="9"/>
      <c r="F147" s="16"/>
      <c r="G147" s="16"/>
      <c r="H147" s="16"/>
      <c r="I147" s="9"/>
      <c r="J147" s="9"/>
      <c r="K147" s="9"/>
      <c r="L147" s="9"/>
      <c r="M147" s="9"/>
      <c r="N147" s="9"/>
      <c r="O147" s="46"/>
      <c r="P147" s="42"/>
      <c r="Q147" s="42"/>
      <c r="R147" s="50"/>
      <c r="S147" s="42"/>
      <c r="T147" s="42"/>
    </row>
    <row r="148" spans="5:20" ht="31.15" customHeight="1">
      <c r="E148" s="9"/>
      <c r="F148" s="16"/>
      <c r="G148" s="16"/>
      <c r="H148" s="16"/>
      <c r="I148" s="9"/>
      <c r="J148" s="9"/>
      <c r="K148" s="9"/>
      <c r="L148" s="9"/>
      <c r="M148" s="9"/>
      <c r="N148" s="9"/>
      <c r="O148" s="46"/>
      <c r="P148" s="42"/>
      <c r="Q148" s="42"/>
      <c r="R148" s="50"/>
      <c r="S148" s="42"/>
      <c r="T148" s="42"/>
    </row>
    <row r="149" spans="5:20" ht="31.15" customHeight="1">
      <c r="E149" s="9"/>
      <c r="F149" s="16"/>
      <c r="G149" s="16"/>
      <c r="H149" s="16"/>
      <c r="I149" s="9"/>
      <c r="J149" s="9"/>
      <c r="K149" s="9"/>
      <c r="L149" s="9"/>
      <c r="M149" s="9"/>
      <c r="N149" s="9"/>
      <c r="O149" s="46"/>
      <c r="P149" s="42"/>
      <c r="Q149" s="42"/>
      <c r="R149" s="50"/>
      <c r="S149" s="42"/>
      <c r="T149" s="42"/>
    </row>
    <row r="150" spans="5:20" ht="31.15" customHeight="1">
      <c r="E150" s="9"/>
      <c r="F150" s="16"/>
      <c r="G150" s="16"/>
      <c r="H150" s="16"/>
      <c r="I150" s="9"/>
      <c r="J150" s="9"/>
      <c r="K150" s="9"/>
      <c r="L150" s="9"/>
      <c r="M150" s="9"/>
      <c r="N150" s="9"/>
      <c r="O150" s="46"/>
      <c r="P150" s="42"/>
      <c r="Q150" s="42"/>
      <c r="R150" s="50"/>
      <c r="S150" s="42"/>
      <c r="T150" s="42"/>
    </row>
    <row r="151" spans="5:20" ht="31.15" customHeight="1">
      <c r="E151" s="9"/>
      <c r="F151" s="16"/>
      <c r="G151" s="16"/>
      <c r="H151" s="16"/>
      <c r="I151" s="9"/>
      <c r="J151" s="9"/>
      <c r="K151" s="9"/>
      <c r="L151" s="9"/>
      <c r="M151" s="9"/>
      <c r="N151" s="9"/>
      <c r="O151" s="46"/>
      <c r="P151" s="42"/>
      <c r="Q151" s="42"/>
      <c r="R151" s="50"/>
      <c r="S151" s="42"/>
      <c r="T151" s="42"/>
    </row>
    <row r="152" spans="5:20" ht="31.15" customHeight="1">
      <c r="E152" s="9"/>
      <c r="F152" s="16"/>
      <c r="G152" s="16"/>
      <c r="H152" s="16"/>
      <c r="I152" s="9"/>
      <c r="J152" s="9"/>
      <c r="K152" s="9"/>
      <c r="L152" s="9"/>
      <c r="M152" s="9"/>
      <c r="N152" s="9"/>
      <c r="O152" s="46"/>
      <c r="P152" s="42"/>
      <c r="Q152" s="42"/>
      <c r="R152" s="50"/>
      <c r="S152" s="42"/>
      <c r="T152" s="42"/>
    </row>
    <row r="153" spans="5:20" ht="31.15" customHeight="1">
      <c r="E153" s="9"/>
      <c r="F153" s="16"/>
      <c r="G153" s="16"/>
      <c r="H153" s="16"/>
      <c r="I153" s="9"/>
      <c r="J153" s="9"/>
      <c r="K153" s="9"/>
      <c r="L153" s="9"/>
      <c r="M153" s="9"/>
      <c r="N153" s="9"/>
      <c r="O153" s="46"/>
      <c r="P153" s="42"/>
      <c r="Q153" s="42"/>
      <c r="R153" s="50"/>
      <c r="S153" s="42"/>
      <c r="T153" s="42"/>
    </row>
    <row r="154" spans="5:20" ht="31.15" customHeight="1">
      <c r="E154" s="9"/>
      <c r="F154" s="16"/>
      <c r="G154" s="16"/>
      <c r="H154" s="16"/>
      <c r="I154" s="9"/>
      <c r="J154" s="9"/>
      <c r="K154" s="9"/>
      <c r="L154" s="9"/>
      <c r="M154" s="9"/>
      <c r="N154" s="9"/>
      <c r="O154" s="46"/>
      <c r="P154" s="42"/>
      <c r="Q154" s="42"/>
      <c r="R154" s="50"/>
      <c r="S154" s="42"/>
      <c r="T154" s="42"/>
    </row>
    <row r="155" spans="5:20" ht="31.15" customHeight="1">
      <c r="E155" s="9"/>
      <c r="F155" s="16"/>
      <c r="G155" s="16"/>
      <c r="H155" s="16"/>
      <c r="I155" s="9"/>
      <c r="J155" s="9"/>
      <c r="K155" s="9"/>
      <c r="L155" s="9"/>
      <c r="M155" s="9"/>
      <c r="N155" s="9"/>
      <c r="O155" s="46"/>
      <c r="P155" s="42"/>
      <c r="Q155" s="42"/>
      <c r="R155" s="50"/>
      <c r="S155" s="42"/>
      <c r="T155" s="42"/>
    </row>
    <row r="156" spans="5:20" ht="31.15" customHeight="1">
      <c r="E156" s="9"/>
      <c r="F156" s="16"/>
      <c r="G156" s="16"/>
      <c r="H156" s="16"/>
      <c r="I156" s="9"/>
      <c r="J156" s="9"/>
      <c r="K156" s="9"/>
      <c r="L156" s="9"/>
      <c r="M156" s="9"/>
      <c r="N156" s="9"/>
      <c r="O156" s="46"/>
      <c r="P156" s="42"/>
      <c r="Q156" s="42"/>
      <c r="R156" s="50"/>
      <c r="S156" s="42"/>
      <c r="T156" s="42"/>
    </row>
    <row r="157" spans="5:20" ht="31.15" customHeight="1">
      <c r="E157" s="9"/>
      <c r="F157" s="16"/>
      <c r="G157" s="16"/>
      <c r="H157" s="16"/>
      <c r="I157" s="9"/>
      <c r="J157" s="9"/>
      <c r="K157" s="9"/>
      <c r="L157" s="9"/>
      <c r="M157" s="9"/>
      <c r="N157" s="9"/>
      <c r="O157" s="46"/>
      <c r="P157" s="42"/>
      <c r="Q157" s="42"/>
      <c r="R157" s="50"/>
      <c r="S157" s="42"/>
      <c r="T157" s="42"/>
    </row>
    <row r="158" spans="5:20" ht="31.15" customHeight="1">
      <c r="E158" s="9"/>
      <c r="F158" s="16"/>
      <c r="G158" s="16"/>
      <c r="H158" s="16"/>
      <c r="I158" s="9"/>
      <c r="J158" s="9"/>
      <c r="K158" s="9"/>
      <c r="L158" s="9"/>
      <c r="M158" s="9"/>
      <c r="N158" s="9"/>
      <c r="O158" s="46"/>
      <c r="P158" s="42"/>
      <c r="Q158" s="42"/>
      <c r="R158" s="50"/>
      <c r="S158" s="42"/>
      <c r="T158" s="42"/>
    </row>
    <row r="159" spans="5:20" ht="31.15" customHeight="1">
      <c r="E159" s="9"/>
      <c r="F159" s="16"/>
      <c r="G159" s="16"/>
      <c r="H159" s="16"/>
      <c r="I159" s="9"/>
      <c r="J159" s="9"/>
      <c r="K159" s="9"/>
      <c r="L159" s="9"/>
      <c r="M159" s="9"/>
      <c r="N159" s="9"/>
      <c r="O159" s="46"/>
      <c r="P159" s="42"/>
      <c r="Q159" s="42"/>
      <c r="R159" s="50"/>
      <c r="S159" s="42"/>
      <c r="T159" s="42"/>
    </row>
    <row r="160" spans="5:20" ht="31.15" customHeight="1">
      <c r="E160" s="9"/>
      <c r="F160" s="16"/>
      <c r="G160" s="16"/>
      <c r="H160" s="16"/>
      <c r="I160" s="9"/>
      <c r="J160" s="9"/>
      <c r="K160" s="9"/>
      <c r="L160" s="9"/>
      <c r="M160" s="9"/>
      <c r="N160" s="9"/>
      <c r="O160" s="46"/>
      <c r="P160" s="42"/>
      <c r="Q160" s="42"/>
      <c r="R160" s="50"/>
      <c r="S160" s="42"/>
      <c r="T160" s="42"/>
    </row>
    <row r="161" spans="5:20" ht="31.15" customHeight="1">
      <c r="E161" s="9"/>
      <c r="F161" s="16"/>
      <c r="G161" s="16"/>
      <c r="H161" s="16"/>
      <c r="I161" s="9"/>
      <c r="J161" s="9"/>
      <c r="K161" s="9"/>
      <c r="L161" s="9"/>
      <c r="M161" s="9"/>
      <c r="N161" s="9"/>
      <c r="O161" s="46"/>
      <c r="P161" s="42"/>
      <c r="Q161" s="42"/>
      <c r="R161" s="50"/>
      <c r="S161" s="42"/>
      <c r="T161" s="42"/>
    </row>
    <row r="162" spans="5:20" ht="31.15" customHeight="1">
      <c r="E162" s="9"/>
      <c r="F162" s="16"/>
      <c r="G162" s="16"/>
      <c r="H162" s="16"/>
      <c r="I162" s="9"/>
      <c r="J162" s="9"/>
      <c r="K162" s="9"/>
      <c r="L162" s="9"/>
      <c r="M162" s="9"/>
      <c r="N162" s="9"/>
      <c r="O162" s="46"/>
      <c r="P162" s="42"/>
      <c r="Q162" s="42"/>
      <c r="R162" s="50"/>
      <c r="S162" s="42"/>
      <c r="T162" s="42"/>
    </row>
    <row r="163" spans="5:20" ht="31.15" customHeight="1">
      <c r="E163" s="9"/>
      <c r="F163" s="16"/>
      <c r="G163" s="16"/>
      <c r="H163" s="16"/>
      <c r="I163" s="9"/>
      <c r="J163" s="9"/>
      <c r="K163" s="9"/>
      <c r="L163" s="9"/>
      <c r="M163" s="9"/>
      <c r="N163" s="9"/>
      <c r="O163" s="46"/>
      <c r="P163" s="42"/>
      <c r="Q163" s="42"/>
      <c r="R163" s="50"/>
      <c r="S163" s="42"/>
      <c r="T163" s="42"/>
    </row>
    <row r="164" spans="5:20" ht="31.15" customHeight="1">
      <c r="E164" s="9"/>
      <c r="F164" s="16"/>
      <c r="G164" s="16"/>
      <c r="H164" s="16"/>
      <c r="I164" s="9"/>
      <c r="J164" s="9"/>
      <c r="K164" s="9"/>
      <c r="L164" s="9"/>
      <c r="M164" s="9"/>
      <c r="N164" s="9"/>
      <c r="O164" s="46"/>
      <c r="P164" s="42"/>
      <c r="Q164" s="42"/>
      <c r="R164" s="50"/>
      <c r="S164" s="42"/>
      <c r="T164" s="42"/>
    </row>
    <row r="165" spans="5:20" ht="31.15" customHeight="1">
      <c r="E165" s="9"/>
      <c r="F165" s="16"/>
      <c r="G165" s="16"/>
      <c r="H165" s="16"/>
      <c r="I165" s="9"/>
      <c r="J165" s="9"/>
      <c r="K165" s="9"/>
      <c r="L165" s="9"/>
      <c r="M165" s="9"/>
      <c r="N165" s="9"/>
      <c r="O165" s="46"/>
      <c r="P165" s="42"/>
      <c r="Q165" s="42"/>
      <c r="R165" s="50"/>
      <c r="S165" s="42"/>
      <c r="T165" s="42"/>
    </row>
    <row r="166" spans="5:20" ht="31.15" customHeight="1">
      <c r="E166" s="9"/>
      <c r="F166" s="16"/>
      <c r="G166" s="16"/>
      <c r="H166" s="16"/>
      <c r="I166" s="9"/>
      <c r="J166" s="9"/>
      <c r="K166" s="9"/>
      <c r="L166" s="9"/>
      <c r="M166" s="9"/>
      <c r="N166" s="9"/>
      <c r="O166" s="46"/>
      <c r="P166" s="42"/>
      <c r="Q166" s="42"/>
      <c r="R166" s="50"/>
      <c r="S166" s="42"/>
      <c r="T166" s="42"/>
    </row>
    <row r="167" spans="5:20" ht="31.15" customHeight="1">
      <c r="E167" s="9"/>
      <c r="F167" s="16"/>
      <c r="G167" s="16"/>
      <c r="H167" s="16"/>
      <c r="I167" s="9"/>
      <c r="J167" s="9"/>
      <c r="K167" s="9"/>
      <c r="L167" s="9"/>
      <c r="M167" s="9"/>
      <c r="N167" s="9"/>
      <c r="O167" s="46"/>
      <c r="P167" s="42"/>
      <c r="Q167" s="42"/>
      <c r="R167" s="50"/>
      <c r="S167" s="42"/>
      <c r="T167" s="42"/>
    </row>
    <row r="168" spans="5:20" ht="31.15" customHeight="1">
      <c r="E168" s="9"/>
      <c r="F168" s="16"/>
      <c r="G168" s="16"/>
      <c r="H168" s="16"/>
      <c r="I168" s="9"/>
      <c r="J168" s="9"/>
      <c r="K168" s="9"/>
      <c r="L168" s="9"/>
      <c r="M168" s="9"/>
      <c r="N168" s="9"/>
      <c r="O168" s="46"/>
      <c r="P168" s="42"/>
      <c r="Q168" s="42"/>
      <c r="R168" s="50"/>
      <c r="S168" s="42"/>
      <c r="T168" s="42"/>
    </row>
    <row r="169" spans="5:20" ht="31.15" customHeight="1">
      <c r="E169" s="9"/>
      <c r="F169" s="16"/>
      <c r="G169" s="16"/>
      <c r="H169" s="16"/>
      <c r="I169" s="9"/>
      <c r="J169" s="9"/>
      <c r="K169" s="9"/>
      <c r="L169" s="9"/>
      <c r="M169" s="9"/>
      <c r="N169" s="9"/>
      <c r="O169" s="46"/>
      <c r="P169" s="42"/>
      <c r="Q169" s="42"/>
      <c r="R169" s="50"/>
      <c r="S169" s="42"/>
      <c r="T169" s="42"/>
    </row>
    <row r="170" spans="5:20" ht="31.15" customHeight="1">
      <c r="E170" s="9"/>
      <c r="F170" s="16"/>
      <c r="G170" s="16"/>
      <c r="H170" s="16"/>
      <c r="I170" s="9"/>
      <c r="J170" s="9"/>
      <c r="K170" s="9"/>
      <c r="L170" s="9"/>
      <c r="M170" s="9"/>
      <c r="N170" s="9"/>
      <c r="O170" s="46"/>
      <c r="P170" s="42"/>
      <c r="Q170" s="42"/>
      <c r="R170" s="50"/>
      <c r="S170" s="42"/>
      <c r="T170" s="42"/>
    </row>
    <row r="171" spans="5:20" ht="31.15" customHeight="1">
      <c r="E171" s="9"/>
      <c r="F171" s="16"/>
      <c r="G171" s="16"/>
      <c r="H171" s="16"/>
      <c r="I171" s="9"/>
      <c r="J171" s="9"/>
      <c r="K171" s="9"/>
      <c r="L171" s="9"/>
      <c r="M171" s="9"/>
      <c r="N171" s="9"/>
      <c r="O171" s="46"/>
      <c r="P171" s="42"/>
      <c r="Q171" s="42"/>
      <c r="R171" s="50"/>
      <c r="S171" s="42"/>
      <c r="T171" s="42"/>
    </row>
    <row r="172" spans="5:20" ht="31.15" customHeight="1">
      <c r="E172" s="9"/>
      <c r="F172" s="16"/>
      <c r="G172" s="16"/>
      <c r="H172" s="16"/>
      <c r="I172" s="9"/>
      <c r="J172" s="9"/>
      <c r="K172" s="9"/>
      <c r="L172" s="9"/>
      <c r="M172" s="9"/>
      <c r="N172" s="9"/>
      <c r="O172" s="46"/>
      <c r="P172" s="42"/>
      <c r="Q172" s="42"/>
      <c r="R172" s="50"/>
      <c r="S172" s="42"/>
      <c r="T172" s="42"/>
    </row>
    <row r="173" spans="5:20" ht="31.15" customHeight="1">
      <c r="E173" s="9"/>
      <c r="F173" s="16"/>
      <c r="G173" s="16"/>
      <c r="H173" s="16"/>
      <c r="I173" s="9"/>
      <c r="J173" s="9"/>
      <c r="K173" s="9"/>
      <c r="L173" s="9"/>
      <c r="M173" s="9"/>
      <c r="N173" s="9"/>
      <c r="O173" s="46"/>
      <c r="P173" s="42"/>
      <c r="Q173" s="42"/>
      <c r="R173" s="50"/>
      <c r="S173" s="42"/>
      <c r="T173" s="42"/>
    </row>
    <row r="174" spans="5:20" ht="31.15" customHeight="1">
      <c r="E174" s="9"/>
      <c r="F174" s="16"/>
      <c r="G174" s="16"/>
      <c r="H174" s="16"/>
      <c r="I174" s="9"/>
      <c r="J174" s="9"/>
      <c r="K174" s="9"/>
      <c r="L174" s="9"/>
      <c r="M174" s="9"/>
      <c r="N174" s="9"/>
      <c r="O174" s="46"/>
      <c r="P174" s="42"/>
      <c r="Q174" s="42"/>
      <c r="R174" s="50"/>
      <c r="S174" s="42"/>
      <c r="T174" s="42"/>
    </row>
    <row r="175" spans="5:20" ht="31.15" customHeight="1">
      <c r="E175" s="9"/>
      <c r="F175" s="16"/>
      <c r="G175" s="16"/>
      <c r="H175" s="16"/>
      <c r="I175" s="9"/>
      <c r="J175" s="9"/>
      <c r="K175" s="9"/>
      <c r="L175" s="9"/>
      <c r="M175" s="9"/>
      <c r="N175" s="9"/>
      <c r="O175" s="46"/>
      <c r="P175" s="42"/>
      <c r="Q175" s="42"/>
      <c r="R175" s="50"/>
      <c r="S175" s="42"/>
      <c r="T175" s="42"/>
    </row>
    <row r="176" spans="5:20" ht="31.15" customHeight="1">
      <c r="E176" s="9"/>
      <c r="F176" s="16"/>
      <c r="G176" s="16"/>
      <c r="H176" s="16"/>
      <c r="I176" s="9"/>
      <c r="J176" s="9"/>
      <c r="K176" s="9"/>
      <c r="L176" s="9"/>
      <c r="M176" s="9"/>
      <c r="N176" s="9"/>
      <c r="O176" s="46"/>
      <c r="P176" s="42"/>
      <c r="Q176" s="42"/>
      <c r="R176" s="50"/>
      <c r="S176" s="42"/>
      <c r="T176" s="42"/>
    </row>
    <row r="177" spans="5:20" ht="31.15" customHeight="1">
      <c r="E177" s="9"/>
      <c r="F177" s="16"/>
      <c r="G177" s="16"/>
      <c r="H177" s="16"/>
      <c r="I177" s="9"/>
      <c r="J177" s="9"/>
      <c r="K177" s="9"/>
      <c r="L177" s="9"/>
      <c r="M177" s="9"/>
      <c r="N177" s="9"/>
      <c r="O177" s="46"/>
      <c r="P177" s="42"/>
      <c r="Q177" s="42"/>
      <c r="R177" s="50"/>
      <c r="S177" s="42"/>
      <c r="T177" s="42"/>
    </row>
    <row r="178" spans="5:20" ht="31.15" customHeight="1">
      <c r="E178" s="9"/>
      <c r="F178" s="16"/>
      <c r="G178" s="16"/>
      <c r="H178" s="16"/>
      <c r="I178" s="9"/>
      <c r="J178" s="9"/>
      <c r="K178" s="9"/>
      <c r="L178" s="9"/>
      <c r="M178" s="9"/>
      <c r="N178" s="9"/>
      <c r="O178" s="46"/>
      <c r="P178" s="42"/>
      <c r="Q178" s="42"/>
      <c r="R178" s="50"/>
      <c r="S178" s="42"/>
      <c r="T178" s="42"/>
    </row>
    <row r="179" spans="5:20" ht="31.15" customHeight="1">
      <c r="E179" s="9"/>
      <c r="F179" s="16"/>
      <c r="G179" s="16"/>
      <c r="H179" s="16"/>
      <c r="I179" s="9"/>
      <c r="J179" s="9"/>
      <c r="K179" s="9"/>
      <c r="L179" s="9"/>
      <c r="M179" s="9"/>
      <c r="N179" s="9"/>
      <c r="O179" s="46"/>
      <c r="P179" s="42"/>
      <c r="Q179" s="42"/>
      <c r="R179" s="50"/>
      <c r="S179" s="42"/>
      <c r="T179" s="42"/>
    </row>
    <row r="180" spans="5:20" ht="31.15" customHeight="1">
      <c r="E180" s="9"/>
      <c r="F180" s="16"/>
      <c r="G180" s="16"/>
      <c r="H180" s="16"/>
      <c r="I180" s="9"/>
      <c r="J180" s="9"/>
      <c r="K180" s="9"/>
      <c r="L180" s="9"/>
      <c r="M180" s="9"/>
      <c r="N180" s="9"/>
      <c r="O180" s="46"/>
      <c r="P180" s="42"/>
      <c r="Q180" s="42"/>
      <c r="R180" s="50"/>
      <c r="S180" s="42"/>
      <c r="T180" s="42"/>
    </row>
    <row r="181" spans="5:20" ht="31.15" customHeight="1">
      <c r="E181" s="9"/>
      <c r="F181" s="16"/>
      <c r="G181" s="16"/>
      <c r="H181" s="16"/>
      <c r="I181" s="9"/>
      <c r="J181" s="9"/>
      <c r="K181" s="9"/>
      <c r="L181" s="9"/>
      <c r="M181" s="9"/>
      <c r="N181" s="9"/>
      <c r="O181" s="46"/>
      <c r="P181" s="42"/>
      <c r="Q181" s="42"/>
      <c r="R181" s="50"/>
      <c r="S181" s="42"/>
      <c r="T181" s="42"/>
    </row>
    <row r="182" spans="5:20" ht="31.15" customHeight="1">
      <c r="E182" s="9"/>
      <c r="F182" s="16"/>
      <c r="G182" s="16"/>
      <c r="H182" s="16"/>
      <c r="I182" s="9"/>
      <c r="J182" s="9"/>
      <c r="K182" s="9"/>
      <c r="L182" s="9"/>
      <c r="M182" s="9"/>
      <c r="N182" s="9"/>
      <c r="O182" s="46"/>
      <c r="P182" s="42"/>
      <c r="Q182" s="42"/>
      <c r="R182" s="50"/>
      <c r="S182" s="42"/>
      <c r="T182" s="42"/>
    </row>
    <row r="183" spans="5:20" ht="31.15" customHeight="1">
      <c r="E183" s="9"/>
      <c r="F183" s="16"/>
      <c r="G183" s="16"/>
      <c r="H183" s="16"/>
      <c r="I183" s="9"/>
      <c r="J183" s="9"/>
      <c r="K183" s="9"/>
      <c r="L183" s="9"/>
      <c r="M183" s="9"/>
      <c r="N183" s="9"/>
      <c r="O183" s="46"/>
      <c r="P183" s="42"/>
      <c r="Q183" s="42"/>
      <c r="R183" s="50"/>
      <c r="S183" s="42"/>
      <c r="T183" s="42"/>
    </row>
    <row r="184" spans="5:20" ht="31.15" customHeight="1">
      <c r="E184" s="9"/>
      <c r="F184" s="16"/>
      <c r="G184" s="16"/>
      <c r="H184" s="16"/>
      <c r="I184" s="9"/>
      <c r="J184" s="9"/>
      <c r="K184" s="9"/>
      <c r="L184" s="9"/>
      <c r="M184" s="9"/>
      <c r="N184" s="9"/>
      <c r="O184" s="46"/>
      <c r="P184" s="42"/>
      <c r="Q184" s="42"/>
      <c r="R184" s="50"/>
      <c r="S184" s="42"/>
      <c r="T184" s="42"/>
    </row>
    <row r="185" spans="5:20" ht="31.15" customHeight="1">
      <c r="E185" s="9"/>
      <c r="F185" s="16"/>
      <c r="G185" s="16"/>
      <c r="H185" s="16"/>
      <c r="I185" s="9"/>
      <c r="J185" s="9"/>
      <c r="K185" s="9"/>
      <c r="L185" s="9"/>
      <c r="M185" s="9"/>
      <c r="N185" s="9"/>
      <c r="O185" s="46"/>
      <c r="P185" s="42"/>
      <c r="Q185" s="42"/>
      <c r="R185" s="50"/>
      <c r="S185" s="42"/>
      <c r="T185" s="42"/>
    </row>
    <row r="186" spans="5:20" ht="31.15" customHeight="1">
      <c r="E186" s="9"/>
      <c r="F186" s="16"/>
      <c r="G186" s="16"/>
      <c r="H186" s="16"/>
      <c r="I186" s="9"/>
      <c r="J186" s="9"/>
      <c r="K186" s="9"/>
      <c r="L186" s="9"/>
      <c r="M186" s="9"/>
      <c r="N186" s="9"/>
      <c r="O186" s="46"/>
      <c r="P186" s="42"/>
      <c r="Q186" s="42"/>
      <c r="R186" s="50"/>
      <c r="S186" s="42"/>
      <c r="T186" s="42"/>
    </row>
    <row r="187" spans="5:20" ht="31.15" customHeight="1">
      <c r="E187" s="9"/>
      <c r="F187" s="16"/>
      <c r="G187" s="16"/>
      <c r="H187" s="16"/>
      <c r="I187" s="9"/>
      <c r="J187" s="9"/>
      <c r="K187" s="9"/>
      <c r="L187" s="9"/>
      <c r="M187" s="9"/>
      <c r="N187" s="9"/>
      <c r="O187" s="46"/>
      <c r="P187" s="42"/>
      <c r="Q187" s="42"/>
      <c r="R187" s="50"/>
      <c r="S187" s="42"/>
      <c r="T187" s="42"/>
    </row>
    <row r="188" spans="5:20" ht="31.15" customHeight="1">
      <c r="E188" s="9"/>
      <c r="F188" s="16"/>
      <c r="G188" s="16"/>
      <c r="H188" s="16"/>
      <c r="I188" s="9"/>
      <c r="J188" s="9"/>
      <c r="K188" s="9"/>
      <c r="L188" s="9"/>
      <c r="M188" s="9"/>
      <c r="N188" s="9"/>
      <c r="O188" s="46"/>
      <c r="P188" s="42"/>
      <c r="Q188" s="42"/>
      <c r="R188" s="50"/>
      <c r="S188" s="42"/>
      <c r="T188" s="42"/>
    </row>
    <row r="189" spans="5:20" ht="31.15" customHeight="1">
      <c r="E189" s="9"/>
      <c r="F189" s="16"/>
      <c r="G189" s="16"/>
      <c r="H189" s="16"/>
      <c r="I189" s="9"/>
      <c r="J189" s="9"/>
      <c r="K189" s="9"/>
      <c r="L189" s="9"/>
      <c r="M189" s="9"/>
      <c r="N189" s="9"/>
      <c r="O189" s="46"/>
      <c r="P189" s="42"/>
      <c r="Q189" s="42"/>
      <c r="R189" s="50"/>
      <c r="S189" s="42"/>
      <c r="T189" s="42"/>
    </row>
    <row r="190" spans="5:20" ht="31.15" customHeight="1">
      <c r="E190" s="9"/>
      <c r="F190" s="16"/>
      <c r="G190" s="16"/>
      <c r="H190" s="16"/>
      <c r="I190" s="9"/>
      <c r="J190" s="9"/>
      <c r="K190" s="9"/>
      <c r="L190" s="9"/>
      <c r="M190" s="9"/>
      <c r="N190" s="9"/>
      <c r="O190" s="46"/>
      <c r="P190" s="42"/>
      <c r="Q190" s="42"/>
      <c r="R190" s="50"/>
      <c r="S190" s="42"/>
      <c r="T190" s="42"/>
    </row>
    <row r="191" spans="5:20" ht="31.15" customHeight="1">
      <c r="E191" s="9"/>
      <c r="F191" s="16"/>
      <c r="G191" s="16"/>
      <c r="H191" s="16"/>
      <c r="I191" s="9"/>
      <c r="J191" s="9"/>
      <c r="K191" s="9"/>
      <c r="L191" s="9"/>
      <c r="M191" s="9"/>
      <c r="N191" s="9"/>
      <c r="O191" s="46"/>
      <c r="P191" s="42"/>
      <c r="Q191" s="42"/>
      <c r="R191" s="50"/>
      <c r="S191" s="42"/>
      <c r="T191" s="42"/>
    </row>
    <row r="192" spans="5:20" ht="31.15" customHeight="1">
      <c r="E192" s="9"/>
      <c r="F192" s="16"/>
      <c r="G192" s="16"/>
      <c r="H192" s="16"/>
      <c r="I192" s="9"/>
      <c r="J192" s="9"/>
      <c r="K192" s="9"/>
      <c r="L192" s="9"/>
      <c r="M192" s="9"/>
      <c r="N192" s="9"/>
      <c r="O192" s="46"/>
      <c r="P192" s="42"/>
      <c r="Q192" s="42"/>
      <c r="R192" s="50"/>
      <c r="S192" s="42"/>
      <c r="T192" s="42"/>
    </row>
    <row r="193" spans="5:20" ht="31.15" customHeight="1">
      <c r="E193" s="9"/>
      <c r="F193" s="16"/>
      <c r="G193" s="16"/>
      <c r="H193" s="16"/>
      <c r="I193" s="9"/>
      <c r="J193" s="9"/>
      <c r="K193" s="9"/>
      <c r="L193" s="9"/>
      <c r="M193" s="9"/>
      <c r="N193" s="9"/>
      <c r="O193" s="46"/>
      <c r="P193" s="42"/>
      <c r="Q193" s="42"/>
      <c r="R193" s="50"/>
      <c r="S193" s="42"/>
      <c r="T193" s="42"/>
    </row>
    <row r="194" spans="5:20" ht="31.15" customHeight="1">
      <c r="E194" s="9"/>
      <c r="F194" s="16"/>
      <c r="G194" s="16"/>
      <c r="H194" s="16"/>
      <c r="I194" s="9"/>
      <c r="J194" s="9"/>
      <c r="K194" s="9"/>
      <c r="L194" s="9"/>
      <c r="M194" s="9"/>
      <c r="N194" s="9"/>
      <c r="O194" s="46"/>
      <c r="P194" s="42"/>
      <c r="Q194" s="42"/>
      <c r="R194" s="50"/>
      <c r="S194" s="42"/>
      <c r="T194" s="42"/>
    </row>
    <row r="195" spans="5:20" ht="31.15" customHeight="1">
      <c r="E195" s="9"/>
      <c r="F195" s="16"/>
      <c r="G195" s="16"/>
      <c r="H195" s="16"/>
      <c r="I195" s="9"/>
      <c r="J195" s="9"/>
      <c r="K195" s="9"/>
      <c r="L195" s="9"/>
      <c r="M195" s="9"/>
      <c r="N195" s="9"/>
      <c r="O195" s="46"/>
      <c r="P195" s="42"/>
      <c r="Q195" s="42"/>
      <c r="R195" s="50"/>
      <c r="S195" s="42"/>
      <c r="T195" s="42"/>
    </row>
    <row r="196" spans="5:20" ht="31.15" customHeight="1">
      <c r="E196" s="9"/>
      <c r="F196" s="16"/>
      <c r="G196" s="16"/>
      <c r="H196" s="16"/>
      <c r="I196" s="9"/>
      <c r="J196" s="9"/>
      <c r="K196" s="9"/>
      <c r="L196" s="9"/>
      <c r="M196" s="9"/>
      <c r="N196" s="9"/>
      <c r="O196" s="46"/>
      <c r="P196" s="42"/>
      <c r="Q196" s="42"/>
      <c r="R196" s="50"/>
      <c r="S196" s="42"/>
      <c r="T196" s="42"/>
    </row>
    <row r="197" spans="5:20" ht="31.15" customHeight="1">
      <c r="E197" s="9"/>
      <c r="F197" s="16"/>
      <c r="G197" s="16"/>
      <c r="H197" s="16"/>
      <c r="I197" s="9"/>
      <c r="J197" s="9"/>
      <c r="K197" s="9"/>
      <c r="L197" s="9"/>
      <c r="M197" s="9"/>
      <c r="N197" s="9"/>
      <c r="O197" s="46"/>
      <c r="P197" s="42"/>
      <c r="Q197" s="42"/>
      <c r="R197" s="50"/>
      <c r="S197" s="42"/>
      <c r="T197" s="42"/>
    </row>
    <row r="198" spans="5:20" ht="31.15" customHeight="1">
      <c r="E198" s="9"/>
      <c r="F198" s="16"/>
      <c r="G198" s="16"/>
      <c r="H198" s="16"/>
      <c r="I198" s="9"/>
      <c r="J198" s="9"/>
      <c r="K198" s="9"/>
      <c r="L198" s="9"/>
      <c r="M198" s="9"/>
      <c r="N198" s="9"/>
      <c r="O198" s="46"/>
      <c r="P198" s="42"/>
      <c r="Q198" s="42"/>
      <c r="R198" s="50"/>
      <c r="S198" s="42"/>
      <c r="T198" s="42"/>
    </row>
    <row r="199" spans="5:20" ht="31.15" customHeight="1">
      <c r="E199" s="9"/>
      <c r="F199" s="16"/>
      <c r="G199" s="16"/>
      <c r="H199" s="16"/>
      <c r="I199" s="9"/>
      <c r="J199" s="9"/>
      <c r="K199" s="9"/>
      <c r="L199" s="9"/>
      <c r="M199" s="9"/>
      <c r="N199" s="9"/>
      <c r="O199" s="46"/>
      <c r="P199" s="42"/>
      <c r="Q199" s="42"/>
      <c r="R199" s="50"/>
      <c r="S199" s="42"/>
      <c r="T199" s="42"/>
    </row>
    <row r="200" spans="5:20" ht="31.15" customHeight="1">
      <c r="E200" s="9"/>
      <c r="F200" s="16"/>
      <c r="G200" s="16"/>
      <c r="H200" s="16"/>
      <c r="I200" s="9"/>
      <c r="J200" s="9"/>
      <c r="K200" s="9"/>
      <c r="L200" s="9"/>
      <c r="M200" s="9"/>
      <c r="N200" s="9"/>
      <c r="O200" s="46"/>
      <c r="P200" s="42"/>
      <c r="Q200" s="42"/>
      <c r="R200" s="50"/>
      <c r="S200" s="42"/>
      <c r="T200" s="42"/>
    </row>
    <row r="201" spans="5:20" ht="31.15" customHeight="1">
      <c r="E201" s="9"/>
      <c r="F201" s="16"/>
      <c r="G201" s="16"/>
      <c r="H201" s="16"/>
      <c r="I201" s="9"/>
      <c r="J201" s="9"/>
      <c r="K201" s="9"/>
      <c r="L201" s="9"/>
      <c r="M201" s="9"/>
      <c r="N201" s="9"/>
      <c r="O201" s="46"/>
      <c r="P201" s="42"/>
      <c r="Q201" s="42"/>
      <c r="R201" s="50"/>
      <c r="S201" s="42"/>
      <c r="T201" s="42"/>
    </row>
    <row r="202" spans="5:20" ht="31.15" customHeight="1">
      <c r="E202" s="9"/>
      <c r="F202" s="16"/>
      <c r="G202" s="16"/>
      <c r="H202" s="16"/>
      <c r="I202" s="9"/>
      <c r="J202" s="9"/>
      <c r="K202" s="9"/>
      <c r="L202" s="9"/>
      <c r="M202" s="9"/>
      <c r="N202" s="9"/>
      <c r="O202" s="46"/>
      <c r="P202" s="42"/>
      <c r="Q202" s="42"/>
      <c r="R202" s="50"/>
      <c r="S202" s="42"/>
      <c r="T202" s="42"/>
    </row>
    <row r="203" spans="5:20" ht="31.15" customHeight="1">
      <c r="E203" s="9"/>
      <c r="F203" s="16"/>
      <c r="G203" s="16"/>
      <c r="H203" s="16"/>
      <c r="I203" s="9"/>
      <c r="J203" s="9"/>
      <c r="K203" s="9"/>
      <c r="L203" s="9"/>
      <c r="M203" s="9"/>
      <c r="N203" s="9"/>
      <c r="O203" s="46"/>
      <c r="P203" s="42"/>
      <c r="Q203" s="42"/>
      <c r="R203" s="50"/>
      <c r="S203" s="42"/>
      <c r="T203" s="42"/>
    </row>
    <row r="204" spans="5:20" ht="31.15" customHeight="1">
      <c r="E204" s="9"/>
      <c r="F204" s="16"/>
      <c r="G204" s="16"/>
      <c r="H204" s="16"/>
      <c r="I204" s="9"/>
      <c r="J204" s="9"/>
      <c r="K204" s="9"/>
      <c r="L204" s="9"/>
      <c r="M204" s="9"/>
      <c r="N204" s="9"/>
      <c r="O204" s="46"/>
      <c r="P204" s="42"/>
      <c r="Q204" s="42"/>
      <c r="R204" s="50"/>
      <c r="S204" s="42"/>
      <c r="T204" s="42"/>
    </row>
    <row r="205" spans="5:20" ht="31.15" customHeight="1">
      <c r="E205" s="9"/>
      <c r="F205" s="16"/>
      <c r="G205" s="16"/>
      <c r="H205" s="16"/>
      <c r="I205" s="9"/>
      <c r="J205" s="9"/>
      <c r="K205" s="9"/>
      <c r="L205" s="9"/>
      <c r="M205" s="9"/>
      <c r="N205" s="9"/>
      <c r="O205" s="46"/>
      <c r="P205" s="42"/>
      <c r="Q205" s="42"/>
      <c r="R205" s="50"/>
      <c r="S205" s="42"/>
      <c r="T205" s="42"/>
    </row>
    <row r="206" spans="5:20" ht="31.15" customHeight="1">
      <c r="E206" s="9"/>
      <c r="F206" s="16"/>
      <c r="G206" s="16"/>
      <c r="H206" s="16"/>
      <c r="I206" s="9"/>
      <c r="J206" s="9"/>
      <c r="K206" s="9"/>
      <c r="L206" s="9"/>
      <c r="M206" s="9"/>
      <c r="N206" s="9"/>
      <c r="O206" s="46"/>
      <c r="P206" s="42"/>
      <c r="Q206" s="42"/>
      <c r="R206" s="50"/>
      <c r="S206" s="42"/>
      <c r="T206" s="42"/>
    </row>
    <row r="207" spans="5:20">
      <c r="E207" s="9"/>
      <c r="F207" s="16"/>
      <c r="G207" s="16"/>
      <c r="H207" s="16"/>
      <c r="I207" s="9"/>
      <c r="J207" s="9"/>
      <c r="K207" s="9"/>
      <c r="L207" s="9"/>
      <c r="M207" s="9"/>
      <c r="N207" s="9"/>
      <c r="O207" s="46"/>
      <c r="P207" s="42"/>
      <c r="Q207" s="42"/>
      <c r="R207" s="50"/>
      <c r="S207" s="42"/>
      <c r="T207" s="42"/>
    </row>
    <row r="208" spans="5:20">
      <c r="E208" s="9"/>
      <c r="F208" s="16"/>
      <c r="G208" s="16"/>
      <c r="H208" s="16"/>
      <c r="I208" s="9"/>
      <c r="J208" s="9"/>
      <c r="K208" s="9"/>
      <c r="L208" s="9"/>
      <c r="M208" s="9"/>
      <c r="N208" s="9"/>
      <c r="O208" s="46"/>
      <c r="P208" s="42"/>
      <c r="Q208" s="42"/>
      <c r="R208" s="50"/>
      <c r="S208" s="42"/>
      <c r="T208" s="42"/>
    </row>
    <row r="209" spans="5:20">
      <c r="E209" s="9"/>
      <c r="F209" s="16"/>
      <c r="G209" s="16"/>
      <c r="H209" s="16"/>
      <c r="I209" s="9"/>
      <c r="J209" s="9"/>
      <c r="K209" s="9"/>
      <c r="L209" s="9"/>
      <c r="M209" s="9"/>
      <c r="N209" s="9"/>
      <c r="O209" s="46"/>
      <c r="P209" s="42"/>
      <c r="Q209" s="42"/>
      <c r="R209" s="50"/>
      <c r="S209" s="42"/>
      <c r="T209" s="42"/>
    </row>
    <row r="210" spans="5:20">
      <c r="E210" s="9"/>
      <c r="F210" s="16"/>
      <c r="G210" s="16"/>
      <c r="H210" s="16"/>
      <c r="I210" s="9"/>
      <c r="J210" s="9"/>
      <c r="K210" s="9"/>
      <c r="L210" s="9"/>
      <c r="M210" s="9"/>
      <c r="N210" s="9"/>
      <c r="O210" s="46"/>
      <c r="P210" s="42"/>
      <c r="Q210" s="42"/>
      <c r="R210" s="50"/>
      <c r="S210" s="42"/>
      <c r="T210" s="42"/>
    </row>
    <row r="211" spans="5:20">
      <c r="E211" s="9"/>
      <c r="F211" s="16"/>
      <c r="G211" s="16"/>
      <c r="H211" s="16"/>
      <c r="I211" s="9"/>
      <c r="J211" s="9"/>
      <c r="K211" s="9"/>
      <c r="L211" s="9"/>
      <c r="M211" s="9"/>
      <c r="N211" s="9"/>
      <c r="O211" s="46"/>
      <c r="P211" s="42"/>
      <c r="Q211" s="42"/>
      <c r="R211" s="50"/>
      <c r="S211" s="42"/>
      <c r="T211" s="42"/>
    </row>
    <row r="212" spans="5:20">
      <c r="E212" s="9"/>
      <c r="F212" s="16"/>
      <c r="G212" s="16"/>
      <c r="H212" s="16"/>
      <c r="I212" s="9"/>
      <c r="J212" s="9"/>
      <c r="K212" s="9"/>
      <c r="L212" s="9"/>
      <c r="M212" s="9"/>
      <c r="N212" s="9"/>
      <c r="O212" s="46"/>
      <c r="P212" s="42"/>
      <c r="Q212" s="42"/>
      <c r="R212" s="50"/>
      <c r="S212" s="42"/>
      <c r="T212" s="42"/>
    </row>
    <row r="213" spans="5:20">
      <c r="E213" s="9"/>
      <c r="F213" s="16"/>
      <c r="G213" s="16"/>
      <c r="H213" s="16"/>
      <c r="I213" s="9"/>
      <c r="J213" s="9"/>
      <c r="K213" s="9"/>
      <c r="L213" s="9"/>
      <c r="M213" s="9"/>
      <c r="N213" s="9"/>
      <c r="O213" s="46"/>
      <c r="P213" s="42"/>
      <c r="Q213" s="42"/>
      <c r="R213" s="50"/>
      <c r="S213" s="42"/>
      <c r="T213" s="42"/>
    </row>
    <row r="214" spans="5:20">
      <c r="E214" s="9"/>
      <c r="F214" s="16"/>
      <c r="G214" s="16"/>
      <c r="H214" s="16"/>
      <c r="I214" s="9"/>
      <c r="J214" s="9"/>
      <c r="K214" s="9"/>
      <c r="L214" s="9"/>
      <c r="M214" s="9"/>
      <c r="N214" s="9"/>
      <c r="O214" s="46"/>
      <c r="P214" s="42"/>
      <c r="Q214" s="42"/>
      <c r="R214" s="50"/>
      <c r="S214" s="42"/>
      <c r="T214" s="42"/>
    </row>
    <row r="215" spans="5:20">
      <c r="E215" s="9"/>
      <c r="F215" s="16"/>
      <c r="G215" s="16"/>
      <c r="H215" s="16"/>
      <c r="I215" s="9"/>
      <c r="J215" s="9"/>
      <c r="K215" s="9"/>
      <c r="L215" s="9"/>
      <c r="M215" s="9"/>
      <c r="N215" s="9"/>
      <c r="O215" s="46"/>
      <c r="P215" s="42"/>
      <c r="Q215" s="42"/>
      <c r="R215" s="50"/>
      <c r="S215" s="42"/>
      <c r="T215" s="42"/>
    </row>
    <row r="216" spans="5:20">
      <c r="E216" s="9"/>
      <c r="F216" s="16"/>
      <c r="G216" s="16"/>
      <c r="H216" s="16"/>
      <c r="I216" s="9"/>
      <c r="J216" s="9"/>
      <c r="K216" s="9"/>
      <c r="L216" s="9"/>
      <c r="M216" s="9"/>
      <c r="N216" s="9"/>
      <c r="O216" s="46"/>
      <c r="P216" s="42"/>
      <c r="Q216" s="42"/>
      <c r="R216" s="50"/>
      <c r="S216" s="42"/>
      <c r="T216" s="42"/>
    </row>
    <row r="217" spans="5:20">
      <c r="E217" s="9"/>
      <c r="F217" s="16"/>
      <c r="G217" s="16"/>
      <c r="H217" s="16"/>
      <c r="I217" s="9"/>
      <c r="J217" s="9"/>
      <c r="K217" s="9"/>
      <c r="L217" s="9"/>
      <c r="M217" s="9"/>
      <c r="N217" s="9"/>
      <c r="O217" s="46"/>
      <c r="P217" s="42"/>
      <c r="Q217" s="42"/>
      <c r="R217" s="50"/>
      <c r="S217" s="42"/>
      <c r="T217" s="42"/>
    </row>
    <row r="218" spans="5:20">
      <c r="E218" s="9"/>
      <c r="F218" s="16"/>
      <c r="G218" s="16"/>
      <c r="H218" s="16"/>
      <c r="I218" s="9"/>
      <c r="J218" s="9"/>
      <c r="K218" s="9"/>
      <c r="L218" s="9"/>
      <c r="M218" s="9"/>
      <c r="N218" s="9"/>
      <c r="O218" s="46"/>
      <c r="P218" s="42"/>
      <c r="Q218" s="42"/>
      <c r="R218" s="50"/>
      <c r="S218" s="42"/>
      <c r="T218" s="42"/>
    </row>
    <row r="219" spans="5:20">
      <c r="E219" s="9"/>
      <c r="F219" s="16"/>
      <c r="G219" s="16"/>
      <c r="H219" s="16"/>
      <c r="I219" s="9"/>
      <c r="J219" s="9"/>
      <c r="K219" s="9"/>
      <c r="L219" s="9"/>
      <c r="M219" s="9"/>
      <c r="N219" s="9"/>
      <c r="O219" s="46"/>
      <c r="P219" s="42"/>
      <c r="Q219" s="42"/>
      <c r="R219" s="50"/>
      <c r="S219" s="42"/>
      <c r="T219" s="42"/>
    </row>
    <row r="220" spans="5:20">
      <c r="E220" s="9"/>
      <c r="F220" s="16"/>
      <c r="G220" s="16"/>
      <c r="H220" s="16"/>
      <c r="I220" s="9"/>
      <c r="J220" s="9"/>
      <c r="K220" s="9"/>
      <c r="L220" s="9"/>
      <c r="M220" s="9"/>
      <c r="N220" s="9"/>
      <c r="O220" s="46"/>
      <c r="P220" s="42"/>
      <c r="Q220" s="42"/>
      <c r="R220" s="50"/>
      <c r="S220" s="42"/>
      <c r="T220" s="42"/>
    </row>
    <row r="221" spans="5:20">
      <c r="E221" s="9"/>
      <c r="F221" s="16"/>
      <c r="G221" s="16"/>
      <c r="H221" s="16"/>
      <c r="I221" s="9"/>
      <c r="J221" s="9"/>
      <c r="K221" s="9"/>
      <c r="L221" s="9"/>
      <c r="M221" s="9"/>
      <c r="N221" s="9"/>
      <c r="O221" s="46"/>
      <c r="P221" s="42"/>
      <c r="Q221" s="42"/>
      <c r="R221" s="50"/>
      <c r="S221" s="42"/>
      <c r="T221" s="42"/>
    </row>
    <row r="222" spans="5:20">
      <c r="E222" s="9"/>
      <c r="F222" s="16"/>
      <c r="G222" s="16"/>
      <c r="H222" s="16"/>
      <c r="I222" s="9"/>
      <c r="J222" s="9"/>
      <c r="K222" s="9"/>
      <c r="L222" s="9"/>
      <c r="M222" s="9"/>
      <c r="N222" s="9"/>
      <c r="O222" s="46"/>
      <c r="P222" s="42"/>
      <c r="Q222" s="42"/>
      <c r="R222" s="50"/>
      <c r="S222" s="42"/>
      <c r="T222" s="42"/>
    </row>
    <row r="223" spans="5:20">
      <c r="E223" s="9"/>
      <c r="F223" s="16"/>
      <c r="G223" s="16"/>
      <c r="H223" s="16"/>
      <c r="I223" s="9"/>
      <c r="J223" s="9"/>
      <c r="K223" s="9"/>
      <c r="L223" s="9"/>
      <c r="M223" s="9"/>
      <c r="N223" s="9"/>
      <c r="O223" s="46"/>
      <c r="P223" s="42"/>
      <c r="Q223" s="42"/>
      <c r="R223" s="50"/>
      <c r="S223" s="42"/>
      <c r="T223" s="42"/>
    </row>
    <row r="224" spans="5:20">
      <c r="E224" s="9"/>
      <c r="F224" s="16"/>
      <c r="G224" s="16"/>
      <c r="H224" s="16"/>
      <c r="I224" s="9"/>
      <c r="J224" s="9"/>
      <c r="K224" s="9"/>
      <c r="L224" s="9"/>
      <c r="M224" s="9"/>
      <c r="N224" s="9"/>
      <c r="O224" s="46"/>
      <c r="P224" s="42"/>
      <c r="Q224" s="42"/>
      <c r="R224" s="50"/>
      <c r="S224" s="42"/>
      <c r="T224" s="42"/>
    </row>
    <row r="225" spans="5:20">
      <c r="E225" s="9"/>
      <c r="F225" s="16"/>
      <c r="G225" s="16"/>
      <c r="H225" s="16"/>
      <c r="I225" s="9"/>
      <c r="J225" s="9"/>
      <c r="K225" s="9"/>
      <c r="L225" s="9"/>
      <c r="M225" s="9"/>
      <c r="N225" s="9"/>
      <c r="O225" s="46"/>
      <c r="P225" s="42"/>
      <c r="Q225" s="42"/>
      <c r="R225" s="50"/>
      <c r="S225" s="42"/>
      <c r="T225" s="42"/>
    </row>
    <row r="226" spans="5:20">
      <c r="E226" s="9"/>
      <c r="F226" s="16"/>
      <c r="G226" s="16"/>
      <c r="H226" s="16"/>
      <c r="I226" s="9"/>
      <c r="J226" s="9"/>
      <c r="K226" s="9"/>
      <c r="L226" s="9"/>
      <c r="M226" s="9"/>
      <c r="N226" s="9"/>
      <c r="O226" s="46"/>
      <c r="P226" s="42"/>
      <c r="Q226" s="42"/>
      <c r="R226" s="50"/>
      <c r="S226" s="42"/>
      <c r="T226" s="42"/>
    </row>
    <row r="227" spans="5:20">
      <c r="E227" s="9"/>
      <c r="F227" s="16"/>
      <c r="G227" s="16"/>
      <c r="H227" s="16"/>
      <c r="I227" s="9"/>
      <c r="J227" s="9"/>
      <c r="K227" s="9"/>
      <c r="L227" s="9"/>
      <c r="M227" s="9"/>
      <c r="N227" s="9"/>
      <c r="O227" s="46"/>
      <c r="P227" s="42"/>
      <c r="Q227" s="42"/>
      <c r="R227" s="50"/>
      <c r="S227" s="42"/>
      <c r="T227" s="42"/>
    </row>
    <row r="228" spans="5:20">
      <c r="E228" s="9"/>
      <c r="F228" s="16"/>
      <c r="G228" s="16"/>
      <c r="H228" s="16"/>
      <c r="I228" s="9"/>
      <c r="J228" s="9"/>
      <c r="K228" s="9"/>
      <c r="L228" s="9"/>
      <c r="M228" s="9"/>
      <c r="N228" s="9"/>
      <c r="O228" s="46"/>
      <c r="P228" s="42"/>
      <c r="Q228" s="42"/>
      <c r="R228" s="50"/>
      <c r="S228" s="42"/>
      <c r="T228" s="42"/>
    </row>
    <row r="229" spans="5:20">
      <c r="E229" s="9"/>
      <c r="F229" s="16"/>
      <c r="G229" s="16"/>
      <c r="H229" s="16"/>
      <c r="I229" s="9"/>
      <c r="J229" s="9"/>
      <c r="K229" s="9"/>
      <c r="L229" s="9"/>
      <c r="M229" s="9"/>
      <c r="N229" s="9"/>
      <c r="O229" s="46"/>
      <c r="P229" s="42"/>
      <c r="Q229" s="42"/>
      <c r="R229" s="50"/>
      <c r="S229" s="42"/>
      <c r="T229" s="42"/>
    </row>
    <row r="230" spans="5:20">
      <c r="E230" s="9"/>
      <c r="F230" s="16"/>
      <c r="G230" s="16"/>
      <c r="H230" s="16"/>
      <c r="I230" s="9"/>
      <c r="J230" s="9"/>
      <c r="K230" s="9"/>
      <c r="L230" s="9"/>
      <c r="M230" s="9"/>
      <c r="N230" s="9"/>
      <c r="O230" s="46"/>
      <c r="P230" s="42"/>
      <c r="Q230" s="42"/>
      <c r="R230" s="50"/>
      <c r="S230" s="42"/>
      <c r="T230" s="42"/>
    </row>
    <row r="231" spans="5:20">
      <c r="E231" s="9"/>
      <c r="F231" s="16"/>
      <c r="G231" s="16"/>
      <c r="H231" s="16"/>
      <c r="I231" s="9"/>
      <c r="J231" s="9"/>
      <c r="K231" s="9"/>
      <c r="L231" s="9"/>
      <c r="M231" s="9"/>
      <c r="N231" s="9"/>
      <c r="O231" s="46"/>
      <c r="P231" s="42"/>
      <c r="Q231" s="42"/>
      <c r="R231" s="50"/>
      <c r="S231" s="42"/>
      <c r="T231" s="42"/>
    </row>
    <row r="232" spans="5:20">
      <c r="E232" s="9"/>
      <c r="F232" s="16"/>
      <c r="G232" s="16"/>
      <c r="H232" s="16"/>
      <c r="I232" s="9"/>
      <c r="J232" s="9"/>
      <c r="K232" s="9"/>
      <c r="L232" s="9"/>
      <c r="M232" s="9"/>
      <c r="N232" s="9"/>
      <c r="O232" s="46"/>
      <c r="P232" s="42"/>
      <c r="Q232" s="42"/>
      <c r="R232" s="50"/>
      <c r="S232" s="42"/>
      <c r="T232" s="42"/>
    </row>
    <row r="233" spans="5:20">
      <c r="E233" s="9"/>
      <c r="F233" s="16"/>
      <c r="G233" s="16"/>
      <c r="H233" s="16"/>
      <c r="I233" s="9"/>
      <c r="J233" s="9"/>
      <c r="K233" s="9"/>
      <c r="L233" s="9"/>
      <c r="M233" s="9"/>
      <c r="N233" s="9"/>
      <c r="O233" s="46"/>
      <c r="P233" s="42"/>
      <c r="Q233" s="42"/>
      <c r="R233" s="50"/>
      <c r="S233" s="42"/>
      <c r="T233" s="42"/>
    </row>
    <row r="234" spans="5:20">
      <c r="E234" s="9"/>
      <c r="F234" s="16"/>
      <c r="G234" s="16"/>
      <c r="H234" s="16"/>
      <c r="I234" s="9"/>
      <c r="J234" s="9"/>
      <c r="K234" s="9"/>
      <c r="L234" s="9"/>
      <c r="M234" s="9"/>
      <c r="N234" s="9"/>
      <c r="O234" s="46"/>
      <c r="P234" s="42"/>
      <c r="Q234" s="42"/>
      <c r="R234" s="50"/>
      <c r="S234" s="42"/>
      <c r="T234" s="42"/>
    </row>
    <row r="235" spans="5:20">
      <c r="E235" s="9"/>
      <c r="F235" s="16"/>
      <c r="G235" s="16"/>
      <c r="H235" s="16"/>
      <c r="I235" s="9"/>
      <c r="J235" s="9"/>
      <c r="K235" s="9"/>
      <c r="L235" s="9"/>
      <c r="M235" s="9"/>
      <c r="N235" s="9"/>
      <c r="O235" s="46"/>
      <c r="P235" s="42"/>
      <c r="Q235" s="42"/>
      <c r="R235" s="50"/>
      <c r="S235" s="42"/>
      <c r="T235" s="42"/>
    </row>
    <row r="236" spans="5:20">
      <c r="E236" s="9"/>
      <c r="F236" s="16"/>
      <c r="G236" s="16"/>
      <c r="H236" s="16"/>
      <c r="I236" s="9"/>
      <c r="J236" s="9"/>
      <c r="K236" s="9"/>
      <c r="L236" s="9"/>
      <c r="M236" s="9"/>
      <c r="N236" s="9"/>
      <c r="O236" s="46"/>
      <c r="P236" s="42"/>
      <c r="Q236" s="42"/>
      <c r="R236" s="50"/>
      <c r="S236" s="42"/>
      <c r="T236" s="42"/>
    </row>
    <row r="237" spans="5:20">
      <c r="E237" s="9"/>
      <c r="F237" s="16"/>
      <c r="G237" s="16"/>
      <c r="H237" s="16"/>
      <c r="I237" s="9"/>
      <c r="J237" s="9"/>
      <c r="K237" s="9"/>
      <c r="L237" s="9"/>
      <c r="M237" s="9"/>
      <c r="N237" s="9"/>
      <c r="O237" s="46"/>
      <c r="P237" s="42"/>
      <c r="Q237" s="42"/>
      <c r="R237" s="50"/>
      <c r="S237" s="42"/>
      <c r="T237" s="42"/>
    </row>
    <row r="238" spans="5:20">
      <c r="E238" s="9"/>
      <c r="F238" s="16"/>
      <c r="G238" s="16"/>
      <c r="H238" s="16"/>
      <c r="I238" s="9"/>
      <c r="J238" s="9"/>
      <c r="K238" s="9"/>
      <c r="L238" s="9"/>
      <c r="M238" s="9"/>
      <c r="N238" s="9"/>
      <c r="O238" s="46"/>
      <c r="P238" s="42"/>
      <c r="Q238" s="42"/>
      <c r="R238" s="50"/>
      <c r="S238" s="42"/>
      <c r="T238" s="42"/>
    </row>
    <row r="239" spans="5:20">
      <c r="E239" s="9"/>
      <c r="F239" s="16"/>
      <c r="G239" s="16"/>
      <c r="H239" s="16"/>
      <c r="I239" s="9"/>
      <c r="J239" s="9"/>
      <c r="K239" s="9"/>
      <c r="L239" s="9"/>
      <c r="M239" s="9"/>
      <c r="N239" s="9"/>
      <c r="O239" s="46"/>
      <c r="P239" s="42"/>
      <c r="Q239" s="42"/>
      <c r="R239" s="50"/>
      <c r="S239" s="42"/>
      <c r="T239" s="42"/>
    </row>
    <row r="240" spans="5:20">
      <c r="E240" s="9"/>
      <c r="F240" s="16"/>
      <c r="G240" s="16"/>
      <c r="H240" s="16"/>
      <c r="I240" s="9"/>
      <c r="J240" s="9"/>
      <c r="K240" s="9"/>
      <c r="L240" s="9"/>
      <c r="M240" s="9"/>
      <c r="N240" s="9"/>
      <c r="O240" s="46"/>
      <c r="P240" s="42"/>
      <c r="Q240" s="42"/>
      <c r="R240" s="50"/>
      <c r="S240" s="42"/>
      <c r="T240" s="42"/>
    </row>
    <row r="241" spans="5:20">
      <c r="E241" s="9"/>
      <c r="F241" s="16"/>
      <c r="G241" s="16"/>
      <c r="H241" s="16"/>
      <c r="I241" s="9"/>
      <c r="J241" s="9"/>
      <c r="K241" s="9"/>
      <c r="L241" s="9"/>
      <c r="M241" s="9"/>
      <c r="N241" s="9"/>
      <c r="O241" s="46"/>
      <c r="P241" s="42"/>
      <c r="Q241" s="42"/>
      <c r="R241" s="50"/>
      <c r="S241" s="42"/>
      <c r="T241" s="42"/>
    </row>
    <row r="242" spans="5:20">
      <c r="E242" s="9"/>
      <c r="F242" s="16"/>
      <c r="G242" s="16"/>
      <c r="H242" s="16"/>
      <c r="I242" s="9"/>
      <c r="J242" s="9"/>
      <c r="K242" s="9"/>
      <c r="L242" s="9"/>
      <c r="M242" s="9"/>
      <c r="N242" s="9"/>
      <c r="O242" s="46"/>
      <c r="P242" s="42"/>
      <c r="Q242" s="42"/>
      <c r="R242" s="50"/>
      <c r="S242" s="42"/>
      <c r="T242" s="42"/>
    </row>
    <row r="243" spans="5:20">
      <c r="E243" s="9"/>
      <c r="F243" s="16"/>
      <c r="G243" s="16"/>
      <c r="H243" s="16"/>
      <c r="I243" s="9"/>
      <c r="J243" s="9"/>
      <c r="K243" s="9"/>
      <c r="L243" s="9"/>
      <c r="M243" s="9"/>
      <c r="N243" s="9"/>
      <c r="O243" s="46"/>
      <c r="P243" s="42"/>
      <c r="Q243" s="42"/>
      <c r="R243" s="50"/>
      <c r="S243" s="42"/>
      <c r="T243" s="42"/>
    </row>
    <row r="244" spans="5:20">
      <c r="E244" s="9"/>
      <c r="F244" s="16"/>
      <c r="G244" s="16"/>
      <c r="H244" s="16"/>
      <c r="I244" s="9"/>
      <c r="J244" s="9"/>
      <c r="K244" s="9"/>
      <c r="L244" s="9"/>
      <c r="M244" s="9"/>
      <c r="N244" s="9"/>
      <c r="O244" s="46"/>
      <c r="P244" s="42"/>
      <c r="Q244" s="42"/>
      <c r="R244" s="50"/>
      <c r="S244" s="42"/>
      <c r="T244" s="42"/>
    </row>
    <row r="245" spans="5:20">
      <c r="E245" s="9"/>
      <c r="F245" s="16"/>
      <c r="G245" s="16"/>
      <c r="H245" s="16"/>
      <c r="I245" s="9"/>
      <c r="J245" s="9"/>
      <c r="K245" s="9"/>
      <c r="L245" s="9"/>
      <c r="M245" s="9"/>
      <c r="N245" s="9"/>
      <c r="O245" s="46"/>
      <c r="P245" s="42"/>
      <c r="Q245" s="42"/>
      <c r="R245" s="50"/>
      <c r="S245" s="42"/>
      <c r="T245" s="42"/>
    </row>
    <row r="246" spans="5:20">
      <c r="E246" s="9"/>
      <c r="F246" s="16"/>
      <c r="G246" s="16"/>
      <c r="H246" s="16"/>
      <c r="I246" s="9"/>
      <c r="J246" s="9"/>
      <c r="K246" s="9"/>
      <c r="L246" s="9"/>
      <c r="M246" s="9"/>
      <c r="N246" s="9"/>
      <c r="O246" s="46"/>
      <c r="P246" s="42"/>
      <c r="Q246" s="42"/>
      <c r="R246" s="50"/>
      <c r="S246" s="42"/>
      <c r="T246" s="42"/>
    </row>
    <row r="247" spans="5:20">
      <c r="E247" s="9"/>
      <c r="F247" s="16"/>
      <c r="G247" s="16"/>
      <c r="H247" s="16"/>
      <c r="I247" s="9"/>
      <c r="J247" s="9"/>
      <c r="K247" s="9"/>
      <c r="L247" s="9"/>
      <c r="M247" s="9"/>
      <c r="N247" s="9"/>
      <c r="O247" s="46"/>
      <c r="P247" s="42"/>
      <c r="Q247" s="42"/>
      <c r="R247" s="50"/>
      <c r="S247" s="42"/>
      <c r="T247" s="42"/>
    </row>
    <row r="248" spans="5:20">
      <c r="E248" s="9"/>
      <c r="F248" s="16"/>
      <c r="G248" s="16"/>
      <c r="H248" s="16"/>
      <c r="I248" s="9"/>
      <c r="J248" s="9"/>
      <c r="K248" s="9"/>
      <c r="L248" s="9"/>
      <c r="M248" s="9"/>
      <c r="N248" s="9"/>
      <c r="O248" s="46"/>
      <c r="P248" s="42"/>
      <c r="Q248" s="42"/>
      <c r="R248" s="50"/>
      <c r="S248" s="42"/>
      <c r="T248" s="42"/>
    </row>
    <row r="249" spans="5:20">
      <c r="E249" s="9"/>
      <c r="F249" s="16"/>
      <c r="G249" s="16"/>
      <c r="H249" s="16"/>
      <c r="I249" s="9"/>
      <c r="J249" s="9"/>
      <c r="K249" s="9"/>
      <c r="L249" s="9"/>
      <c r="M249" s="9"/>
      <c r="N249" s="9"/>
      <c r="O249" s="46"/>
      <c r="P249" s="42"/>
      <c r="Q249" s="42"/>
      <c r="R249" s="50"/>
      <c r="S249" s="42"/>
      <c r="T249" s="42"/>
    </row>
    <row r="250" spans="5:20">
      <c r="E250" s="9"/>
      <c r="F250" s="16"/>
      <c r="G250" s="16"/>
      <c r="H250" s="16"/>
      <c r="I250" s="9"/>
      <c r="J250" s="9"/>
      <c r="K250" s="9"/>
      <c r="L250" s="9"/>
      <c r="M250" s="9"/>
      <c r="N250" s="9"/>
      <c r="O250" s="46"/>
      <c r="P250" s="42"/>
      <c r="Q250" s="42"/>
      <c r="R250" s="50"/>
      <c r="S250" s="42"/>
      <c r="T250" s="42"/>
    </row>
    <row r="251" spans="5:20">
      <c r="E251" s="9"/>
      <c r="F251" s="16"/>
      <c r="G251" s="16"/>
      <c r="H251" s="16"/>
      <c r="I251" s="9"/>
      <c r="J251" s="9"/>
      <c r="K251" s="9"/>
      <c r="L251" s="9"/>
      <c r="M251" s="9"/>
      <c r="N251" s="9"/>
      <c r="O251" s="46"/>
      <c r="P251" s="42"/>
      <c r="Q251" s="42"/>
      <c r="R251" s="50"/>
      <c r="S251" s="42"/>
      <c r="T251" s="42"/>
    </row>
    <row r="252" spans="5:20">
      <c r="E252" s="9"/>
      <c r="F252" s="16"/>
      <c r="G252" s="16"/>
      <c r="H252" s="16"/>
      <c r="I252" s="9"/>
      <c r="J252" s="9"/>
      <c r="K252" s="9"/>
      <c r="L252" s="9"/>
      <c r="M252" s="9"/>
      <c r="N252" s="9"/>
      <c r="O252" s="46"/>
      <c r="P252" s="42"/>
      <c r="Q252" s="42"/>
      <c r="R252" s="50"/>
      <c r="S252" s="42"/>
      <c r="T252" s="42"/>
    </row>
    <row r="253" spans="5:20">
      <c r="E253" s="9"/>
      <c r="F253" s="16"/>
      <c r="G253" s="16"/>
      <c r="H253" s="16"/>
      <c r="I253" s="9"/>
      <c r="J253" s="9"/>
      <c r="K253" s="9"/>
      <c r="L253" s="9"/>
      <c r="M253" s="9"/>
      <c r="N253" s="9"/>
      <c r="O253" s="46"/>
      <c r="P253" s="42"/>
      <c r="Q253" s="42"/>
      <c r="R253" s="50"/>
      <c r="S253" s="42"/>
      <c r="T253" s="42"/>
    </row>
    <row r="254" spans="5:20">
      <c r="E254" s="9"/>
      <c r="F254" s="16"/>
      <c r="G254" s="16"/>
      <c r="H254" s="16"/>
      <c r="I254" s="9"/>
      <c r="J254" s="9"/>
      <c r="K254" s="9"/>
      <c r="L254" s="9"/>
      <c r="M254" s="9"/>
      <c r="N254" s="9"/>
      <c r="O254" s="46"/>
      <c r="P254" s="42"/>
      <c r="Q254" s="42"/>
      <c r="R254" s="50"/>
      <c r="S254" s="42"/>
      <c r="T254" s="42"/>
    </row>
    <row r="255" spans="5:20">
      <c r="E255" s="9"/>
      <c r="F255" s="16"/>
      <c r="G255" s="16"/>
      <c r="H255" s="16"/>
      <c r="I255" s="9"/>
      <c r="J255" s="9"/>
      <c r="K255" s="9"/>
      <c r="L255" s="9"/>
      <c r="M255" s="9"/>
      <c r="N255" s="9"/>
      <c r="O255" s="46"/>
      <c r="P255" s="42"/>
      <c r="Q255" s="42"/>
      <c r="R255" s="50"/>
      <c r="S255" s="42"/>
      <c r="T255" s="42"/>
    </row>
    <row r="256" spans="5:20">
      <c r="E256" s="9"/>
      <c r="F256" s="16"/>
      <c r="G256" s="16"/>
      <c r="H256" s="16"/>
      <c r="I256" s="9"/>
      <c r="J256" s="9"/>
      <c r="K256" s="9"/>
      <c r="L256" s="9"/>
      <c r="M256" s="9"/>
      <c r="N256" s="9"/>
      <c r="O256" s="46"/>
      <c r="P256" s="42"/>
      <c r="Q256" s="42"/>
      <c r="R256" s="50"/>
      <c r="S256" s="42"/>
      <c r="T256" s="42"/>
    </row>
    <row r="257" spans="5:20">
      <c r="E257" s="9"/>
      <c r="F257" s="16"/>
      <c r="G257" s="16"/>
      <c r="H257" s="16"/>
      <c r="I257" s="9"/>
      <c r="J257" s="9"/>
      <c r="K257" s="9"/>
      <c r="L257" s="9"/>
      <c r="M257" s="9"/>
      <c r="N257" s="9"/>
      <c r="O257" s="46"/>
      <c r="P257" s="42"/>
      <c r="Q257" s="42"/>
      <c r="R257" s="50"/>
      <c r="S257" s="42"/>
      <c r="T257" s="42"/>
    </row>
    <row r="258" spans="5:20">
      <c r="E258" s="9"/>
      <c r="F258" s="16"/>
      <c r="G258" s="16"/>
      <c r="H258" s="16"/>
      <c r="I258" s="9"/>
      <c r="J258" s="9"/>
      <c r="K258" s="9"/>
      <c r="L258" s="9"/>
      <c r="M258" s="9"/>
      <c r="N258" s="9"/>
      <c r="O258" s="46"/>
      <c r="P258" s="42"/>
      <c r="Q258" s="42"/>
      <c r="R258" s="50"/>
      <c r="S258" s="42"/>
      <c r="T258" s="42"/>
    </row>
    <row r="259" spans="5:20">
      <c r="E259" s="9"/>
      <c r="F259" s="16"/>
      <c r="G259" s="16"/>
      <c r="H259" s="16"/>
      <c r="I259" s="9"/>
      <c r="J259" s="9"/>
      <c r="K259" s="9"/>
      <c r="L259" s="9"/>
      <c r="M259" s="9"/>
      <c r="N259" s="9"/>
      <c r="O259" s="46"/>
      <c r="P259" s="42"/>
      <c r="Q259" s="42"/>
      <c r="R259" s="50"/>
      <c r="S259" s="42"/>
      <c r="T259" s="42"/>
    </row>
    <row r="260" spans="5:20">
      <c r="E260" s="9"/>
      <c r="F260" s="16"/>
      <c r="G260" s="16"/>
      <c r="H260" s="16"/>
      <c r="I260" s="9"/>
      <c r="J260" s="9"/>
      <c r="K260" s="9"/>
      <c r="L260" s="9"/>
      <c r="M260" s="9"/>
      <c r="N260" s="9"/>
      <c r="O260" s="46"/>
      <c r="P260" s="42"/>
      <c r="Q260" s="42"/>
      <c r="R260" s="50"/>
      <c r="S260" s="42"/>
      <c r="T260" s="42"/>
    </row>
    <row r="261" spans="5:20">
      <c r="E261" s="9"/>
      <c r="F261" s="16"/>
      <c r="G261" s="16"/>
      <c r="H261" s="16"/>
      <c r="I261" s="9"/>
      <c r="J261" s="9"/>
      <c r="K261" s="9"/>
      <c r="L261" s="9"/>
      <c r="M261" s="9"/>
      <c r="N261" s="9"/>
      <c r="O261" s="46"/>
      <c r="P261" s="42"/>
      <c r="Q261" s="42"/>
      <c r="R261" s="50"/>
      <c r="S261" s="42"/>
      <c r="T261" s="42"/>
    </row>
    <row r="262" spans="5:20">
      <c r="E262" s="9"/>
      <c r="F262" s="16"/>
      <c r="G262" s="16"/>
      <c r="H262" s="16"/>
      <c r="I262" s="9"/>
      <c r="J262" s="9"/>
      <c r="K262" s="9"/>
      <c r="L262" s="9"/>
      <c r="M262" s="9"/>
      <c r="N262" s="9"/>
      <c r="O262" s="46"/>
      <c r="P262" s="42"/>
      <c r="Q262" s="42"/>
      <c r="R262" s="50"/>
      <c r="S262" s="42"/>
      <c r="T262" s="42"/>
    </row>
    <row r="263" spans="5:20">
      <c r="E263" s="9"/>
      <c r="F263" s="16"/>
      <c r="G263" s="16"/>
      <c r="H263" s="16"/>
      <c r="I263" s="9"/>
      <c r="J263" s="9"/>
      <c r="K263" s="9"/>
      <c r="L263" s="9"/>
      <c r="M263" s="9"/>
      <c r="N263" s="9"/>
      <c r="O263" s="46"/>
      <c r="P263" s="42"/>
      <c r="Q263" s="42"/>
      <c r="R263" s="50"/>
      <c r="S263" s="42"/>
      <c r="T263" s="42"/>
    </row>
    <row r="264" spans="5:20">
      <c r="E264" s="9"/>
      <c r="F264" s="16"/>
      <c r="G264" s="16"/>
      <c r="H264" s="16"/>
      <c r="I264" s="9"/>
      <c r="J264" s="9"/>
      <c r="K264" s="9"/>
      <c r="L264" s="9"/>
      <c r="M264" s="9"/>
      <c r="N264" s="9"/>
      <c r="O264" s="46"/>
      <c r="P264" s="42"/>
      <c r="Q264" s="42"/>
      <c r="R264" s="50"/>
      <c r="S264" s="42"/>
      <c r="T264" s="42"/>
    </row>
    <row r="265" spans="5:20">
      <c r="E265" s="9"/>
      <c r="F265" s="16"/>
      <c r="G265" s="16"/>
      <c r="H265" s="16"/>
      <c r="I265" s="9"/>
      <c r="J265" s="9"/>
      <c r="K265" s="9"/>
      <c r="L265" s="9"/>
      <c r="M265" s="9"/>
      <c r="N265" s="9"/>
      <c r="O265" s="46"/>
      <c r="P265" s="42"/>
      <c r="Q265" s="42"/>
      <c r="R265" s="50"/>
      <c r="S265" s="42"/>
      <c r="T265" s="42"/>
    </row>
    <row r="266" spans="5:20">
      <c r="E266" s="9"/>
      <c r="F266" s="16"/>
      <c r="G266" s="16"/>
      <c r="H266" s="16"/>
      <c r="I266" s="9"/>
      <c r="J266" s="9"/>
      <c r="K266" s="9"/>
      <c r="L266" s="9"/>
      <c r="M266" s="9"/>
      <c r="N266" s="9"/>
      <c r="O266" s="46"/>
      <c r="P266" s="42"/>
      <c r="Q266" s="42"/>
      <c r="R266" s="50"/>
      <c r="S266" s="42"/>
      <c r="T266" s="42"/>
    </row>
    <row r="267" spans="5:20">
      <c r="E267" s="9"/>
      <c r="F267" s="16"/>
      <c r="G267" s="16"/>
      <c r="H267" s="16"/>
      <c r="I267" s="9"/>
      <c r="J267" s="9"/>
      <c r="K267" s="9"/>
      <c r="L267" s="9"/>
      <c r="M267" s="9"/>
      <c r="N267" s="9"/>
      <c r="O267" s="46"/>
      <c r="P267" s="42"/>
      <c r="Q267" s="42"/>
      <c r="R267" s="50"/>
      <c r="S267" s="42"/>
      <c r="T267" s="42"/>
    </row>
    <row r="268" spans="5:20">
      <c r="E268" s="9"/>
      <c r="F268" s="16"/>
      <c r="G268" s="16"/>
      <c r="H268" s="16"/>
      <c r="I268" s="9"/>
      <c r="J268" s="9"/>
      <c r="K268" s="9"/>
      <c r="L268" s="9"/>
      <c r="M268" s="9"/>
      <c r="N268" s="9"/>
      <c r="O268" s="46"/>
      <c r="P268" s="42"/>
      <c r="Q268" s="42"/>
      <c r="R268" s="50"/>
      <c r="S268" s="42"/>
      <c r="T268" s="42"/>
    </row>
    <row r="269" spans="5:20">
      <c r="E269" s="9"/>
      <c r="F269" s="16"/>
      <c r="G269" s="16"/>
      <c r="H269" s="16"/>
      <c r="I269" s="9"/>
      <c r="J269" s="9"/>
      <c r="K269" s="9"/>
      <c r="L269" s="9"/>
      <c r="M269" s="9"/>
      <c r="N269" s="9"/>
      <c r="O269" s="46"/>
      <c r="P269" s="42"/>
      <c r="Q269" s="42"/>
      <c r="R269" s="50"/>
      <c r="S269" s="42"/>
      <c r="T269" s="42"/>
    </row>
    <row r="270" spans="5:20">
      <c r="E270" s="9"/>
      <c r="F270" s="16"/>
      <c r="G270" s="16"/>
      <c r="H270" s="16"/>
      <c r="I270" s="9"/>
      <c r="J270" s="9"/>
      <c r="K270" s="9"/>
      <c r="L270" s="9"/>
      <c r="M270" s="9"/>
      <c r="N270" s="9"/>
      <c r="O270" s="46"/>
      <c r="P270" s="42"/>
      <c r="Q270" s="42"/>
      <c r="R270" s="50"/>
      <c r="S270" s="42"/>
      <c r="T270" s="42"/>
    </row>
    <row r="271" spans="5:20">
      <c r="E271" s="9"/>
      <c r="F271" s="16"/>
      <c r="G271" s="16"/>
      <c r="H271" s="16"/>
      <c r="I271" s="9"/>
      <c r="J271" s="9"/>
      <c r="K271" s="9"/>
      <c r="L271" s="9"/>
      <c r="M271" s="9"/>
      <c r="N271" s="9"/>
      <c r="O271" s="46"/>
      <c r="P271" s="42"/>
      <c r="Q271" s="42"/>
      <c r="R271" s="50"/>
      <c r="S271" s="42"/>
      <c r="T271" s="42"/>
    </row>
    <row r="272" spans="5:20">
      <c r="E272" s="9"/>
      <c r="F272" s="16"/>
      <c r="G272" s="16"/>
      <c r="H272" s="16"/>
      <c r="I272" s="9"/>
      <c r="J272" s="9"/>
      <c r="K272" s="9"/>
      <c r="L272" s="9"/>
      <c r="M272" s="9"/>
      <c r="N272" s="9"/>
      <c r="O272" s="46"/>
      <c r="P272" s="42"/>
      <c r="Q272" s="42"/>
      <c r="R272" s="50"/>
      <c r="S272" s="42"/>
      <c r="T272" s="42"/>
    </row>
    <row r="273" spans="5:20">
      <c r="E273" s="9"/>
      <c r="F273" s="16"/>
      <c r="G273" s="16"/>
      <c r="H273" s="16"/>
      <c r="I273" s="9"/>
      <c r="J273" s="9"/>
      <c r="K273" s="9"/>
      <c r="L273" s="9"/>
      <c r="M273" s="9"/>
      <c r="N273" s="9"/>
      <c r="O273" s="46"/>
      <c r="P273" s="42"/>
      <c r="Q273" s="42"/>
      <c r="R273" s="50"/>
      <c r="S273" s="42"/>
      <c r="T273" s="42"/>
    </row>
    <row r="274" spans="5:20">
      <c r="E274" s="9"/>
      <c r="F274" s="16"/>
      <c r="G274" s="16"/>
      <c r="H274" s="16"/>
      <c r="I274" s="9"/>
      <c r="J274" s="9"/>
      <c r="K274" s="9"/>
      <c r="L274" s="9"/>
      <c r="M274" s="9"/>
      <c r="N274" s="9"/>
      <c r="O274" s="46"/>
      <c r="P274" s="42"/>
      <c r="Q274" s="42"/>
      <c r="R274" s="50"/>
      <c r="S274" s="42"/>
      <c r="T274" s="42"/>
    </row>
    <row r="275" spans="5:20">
      <c r="E275" s="9"/>
      <c r="F275" s="16"/>
      <c r="G275" s="16"/>
      <c r="H275" s="16"/>
      <c r="I275" s="9"/>
      <c r="J275" s="9"/>
      <c r="K275" s="9"/>
      <c r="L275" s="9"/>
      <c r="M275" s="9"/>
      <c r="N275" s="9"/>
      <c r="O275" s="46"/>
      <c r="P275" s="42"/>
      <c r="Q275" s="42"/>
      <c r="R275" s="50"/>
      <c r="S275" s="42"/>
      <c r="T275" s="42"/>
    </row>
    <row r="276" spans="5:20">
      <c r="E276" s="9"/>
      <c r="F276" s="16"/>
      <c r="G276" s="16"/>
      <c r="H276" s="16"/>
      <c r="I276" s="9"/>
      <c r="J276" s="9"/>
      <c r="K276" s="9"/>
      <c r="L276" s="9"/>
      <c r="M276" s="9"/>
      <c r="N276" s="9"/>
      <c r="O276" s="46"/>
      <c r="P276" s="42"/>
      <c r="Q276" s="42"/>
      <c r="R276" s="50"/>
      <c r="S276" s="42"/>
      <c r="T276" s="42"/>
    </row>
    <row r="277" spans="5:20">
      <c r="E277" s="9"/>
      <c r="F277" s="16"/>
      <c r="G277" s="16"/>
      <c r="H277" s="16"/>
      <c r="I277" s="9"/>
      <c r="J277" s="9"/>
      <c r="K277" s="9"/>
      <c r="L277" s="9"/>
      <c r="M277" s="9"/>
      <c r="N277" s="9"/>
      <c r="O277" s="46"/>
      <c r="P277" s="42"/>
      <c r="Q277" s="42"/>
      <c r="R277" s="50"/>
      <c r="S277" s="42"/>
      <c r="T277" s="42"/>
    </row>
    <row r="278" spans="5:20">
      <c r="E278" s="9"/>
      <c r="F278" s="16"/>
      <c r="G278" s="16"/>
      <c r="H278" s="16"/>
      <c r="I278" s="9"/>
      <c r="J278" s="9"/>
      <c r="K278" s="9"/>
      <c r="L278" s="9"/>
      <c r="M278" s="9"/>
      <c r="N278" s="9"/>
      <c r="O278" s="46"/>
      <c r="P278" s="42"/>
      <c r="Q278" s="42"/>
      <c r="R278" s="50"/>
      <c r="S278" s="42"/>
      <c r="T278" s="42"/>
    </row>
    <row r="279" spans="5:20">
      <c r="E279" s="9"/>
      <c r="F279" s="16"/>
      <c r="G279" s="16"/>
      <c r="H279" s="16"/>
      <c r="I279" s="9"/>
      <c r="J279" s="9"/>
      <c r="K279" s="9"/>
      <c r="L279" s="9"/>
      <c r="M279" s="9"/>
      <c r="N279" s="9"/>
      <c r="O279" s="46"/>
      <c r="P279" s="42"/>
      <c r="Q279" s="42"/>
      <c r="R279" s="50"/>
      <c r="S279" s="42"/>
      <c r="T279" s="42"/>
    </row>
    <row r="280" spans="5:20">
      <c r="E280" s="9"/>
      <c r="F280" s="16"/>
      <c r="G280" s="16"/>
      <c r="H280" s="16"/>
      <c r="I280" s="9"/>
      <c r="J280" s="9"/>
      <c r="K280" s="9"/>
      <c r="L280" s="9"/>
      <c r="M280" s="9"/>
      <c r="N280" s="9"/>
      <c r="O280" s="46"/>
      <c r="P280" s="42"/>
      <c r="Q280" s="42"/>
      <c r="R280" s="50"/>
      <c r="S280" s="42"/>
      <c r="T280" s="42"/>
    </row>
    <row r="281" spans="5:20">
      <c r="E281" s="9"/>
      <c r="F281" s="16"/>
      <c r="G281" s="16"/>
      <c r="H281" s="16"/>
      <c r="I281" s="9"/>
      <c r="J281" s="9"/>
      <c r="K281" s="9"/>
      <c r="L281" s="9"/>
      <c r="M281" s="9"/>
      <c r="N281" s="9"/>
      <c r="O281" s="46"/>
      <c r="P281" s="42"/>
      <c r="Q281" s="42"/>
      <c r="R281" s="50"/>
      <c r="S281" s="42"/>
      <c r="T281" s="42"/>
    </row>
    <row r="282" spans="5:20">
      <c r="E282" s="9"/>
      <c r="F282" s="16"/>
      <c r="G282" s="16"/>
      <c r="H282" s="16"/>
      <c r="I282" s="9"/>
      <c r="J282" s="9"/>
      <c r="K282" s="9"/>
      <c r="L282" s="9"/>
      <c r="M282" s="9"/>
      <c r="N282" s="9"/>
      <c r="O282" s="46"/>
      <c r="P282" s="42"/>
      <c r="Q282" s="42"/>
      <c r="R282" s="50"/>
      <c r="S282" s="42"/>
      <c r="T282" s="42"/>
    </row>
    <row r="283" spans="5:20">
      <c r="E283" s="9"/>
      <c r="F283" s="16"/>
      <c r="G283" s="16"/>
      <c r="H283" s="16"/>
      <c r="I283" s="9"/>
      <c r="J283" s="9"/>
      <c r="K283" s="9"/>
      <c r="L283" s="9"/>
      <c r="M283" s="9"/>
      <c r="N283" s="9"/>
      <c r="O283" s="46"/>
      <c r="P283" s="42"/>
      <c r="Q283" s="42"/>
      <c r="R283" s="50"/>
      <c r="S283" s="42"/>
      <c r="T283" s="42"/>
    </row>
    <row r="284" spans="5:20">
      <c r="E284" s="9"/>
      <c r="F284" s="16"/>
      <c r="G284" s="16"/>
      <c r="H284" s="16"/>
      <c r="I284" s="9"/>
      <c r="J284" s="9"/>
      <c r="K284" s="9"/>
      <c r="L284" s="9"/>
      <c r="M284" s="9"/>
      <c r="N284" s="9"/>
      <c r="O284" s="46"/>
      <c r="P284" s="42"/>
      <c r="Q284" s="42"/>
      <c r="R284" s="50"/>
      <c r="S284" s="42"/>
      <c r="T284" s="42"/>
    </row>
    <row r="285" spans="5:20">
      <c r="E285" s="9"/>
      <c r="F285" s="16"/>
      <c r="G285" s="16"/>
      <c r="H285" s="16"/>
      <c r="I285" s="9"/>
      <c r="J285" s="9"/>
      <c r="K285" s="9"/>
      <c r="L285" s="9"/>
      <c r="M285" s="9"/>
      <c r="N285" s="9"/>
      <c r="O285" s="46"/>
      <c r="P285" s="42"/>
      <c r="Q285" s="42"/>
      <c r="R285" s="50"/>
      <c r="S285" s="42"/>
      <c r="T285" s="42"/>
    </row>
    <row r="286" spans="5:20">
      <c r="E286" s="9"/>
      <c r="F286" s="16"/>
      <c r="G286" s="16"/>
      <c r="H286" s="16"/>
      <c r="I286" s="9"/>
      <c r="J286" s="9"/>
      <c r="K286" s="9"/>
      <c r="L286" s="9"/>
      <c r="M286" s="9"/>
      <c r="N286" s="9"/>
      <c r="O286" s="46"/>
      <c r="P286" s="42"/>
      <c r="Q286" s="42"/>
      <c r="R286" s="50"/>
      <c r="S286" s="42"/>
      <c r="T286" s="42"/>
    </row>
    <row r="287" spans="5:20">
      <c r="E287" s="9"/>
      <c r="F287" s="16"/>
      <c r="G287" s="16"/>
      <c r="H287" s="16"/>
      <c r="I287" s="9"/>
      <c r="J287" s="9"/>
      <c r="K287" s="9"/>
      <c r="L287" s="9"/>
      <c r="M287" s="9"/>
      <c r="N287" s="9"/>
      <c r="O287" s="46"/>
      <c r="P287" s="42"/>
      <c r="Q287" s="42"/>
      <c r="R287" s="50"/>
      <c r="S287" s="42"/>
      <c r="T287" s="42"/>
    </row>
    <row r="288" spans="5:20">
      <c r="E288" s="9"/>
      <c r="F288" s="16"/>
      <c r="G288" s="16"/>
      <c r="H288" s="16"/>
      <c r="I288" s="9"/>
      <c r="J288" s="9"/>
      <c r="K288" s="9"/>
      <c r="L288" s="9"/>
      <c r="M288" s="9"/>
      <c r="N288" s="9"/>
      <c r="O288" s="46"/>
      <c r="P288" s="42"/>
      <c r="Q288" s="42"/>
      <c r="R288" s="50"/>
      <c r="S288" s="42"/>
      <c r="T288" s="42"/>
    </row>
    <row r="289" spans="5:20">
      <c r="E289" s="9"/>
      <c r="F289" s="16"/>
      <c r="G289" s="16"/>
      <c r="H289" s="16"/>
      <c r="I289" s="9"/>
      <c r="J289" s="9"/>
      <c r="K289" s="9"/>
      <c r="L289" s="9"/>
      <c r="M289" s="9"/>
      <c r="N289" s="9"/>
      <c r="O289" s="46"/>
      <c r="P289" s="42"/>
      <c r="Q289" s="42"/>
      <c r="R289" s="50"/>
      <c r="S289" s="42"/>
      <c r="T289" s="42"/>
    </row>
    <row r="290" spans="5:20">
      <c r="E290" s="9"/>
      <c r="F290" s="16"/>
      <c r="G290" s="16"/>
      <c r="H290" s="16"/>
      <c r="I290" s="9"/>
      <c r="J290" s="9"/>
      <c r="K290" s="9"/>
      <c r="L290" s="9"/>
      <c r="M290" s="9"/>
      <c r="N290" s="9"/>
      <c r="O290" s="46"/>
      <c r="P290" s="42"/>
      <c r="Q290" s="42"/>
      <c r="R290" s="50"/>
      <c r="S290" s="42"/>
      <c r="T290" s="42"/>
    </row>
    <row r="291" spans="5:20">
      <c r="E291" s="9"/>
      <c r="F291" s="16"/>
      <c r="G291" s="16"/>
      <c r="H291" s="16"/>
      <c r="I291" s="9"/>
      <c r="J291" s="9"/>
      <c r="K291" s="9"/>
      <c r="L291" s="9"/>
      <c r="M291" s="9"/>
      <c r="N291" s="9"/>
      <c r="O291" s="46"/>
      <c r="P291" s="42"/>
      <c r="Q291" s="42"/>
      <c r="R291" s="50"/>
      <c r="S291" s="42"/>
      <c r="T291" s="42"/>
    </row>
    <row r="292" spans="5:20">
      <c r="E292" s="9"/>
      <c r="F292" s="16"/>
      <c r="G292" s="16"/>
      <c r="H292" s="16"/>
      <c r="I292" s="9"/>
      <c r="J292" s="9"/>
      <c r="K292" s="9"/>
      <c r="L292" s="9"/>
      <c r="M292" s="9"/>
      <c r="N292" s="9"/>
      <c r="O292" s="46"/>
      <c r="P292" s="42"/>
      <c r="Q292" s="42"/>
      <c r="R292" s="50"/>
      <c r="S292" s="42"/>
      <c r="T292" s="42"/>
    </row>
    <row r="293" spans="5:20">
      <c r="E293" s="9"/>
      <c r="F293" s="16"/>
      <c r="G293" s="16"/>
      <c r="H293" s="16"/>
      <c r="I293" s="9"/>
      <c r="J293" s="9"/>
      <c r="K293" s="9"/>
      <c r="L293" s="9"/>
      <c r="M293" s="9"/>
      <c r="N293" s="9"/>
      <c r="O293" s="46"/>
      <c r="P293" s="42"/>
      <c r="Q293" s="42"/>
      <c r="R293" s="50"/>
      <c r="S293" s="42"/>
      <c r="T293" s="42"/>
    </row>
    <row r="294" spans="5:20">
      <c r="E294" s="9"/>
      <c r="F294" s="16"/>
      <c r="G294" s="16"/>
      <c r="H294" s="16"/>
      <c r="I294" s="9"/>
      <c r="J294" s="9"/>
      <c r="K294" s="9"/>
      <c r="L294" s="9"/>
      <c r="M294" s="9"/>
      <c r="N294" s="9"/>
      <c r="O294" s="46"/>
      <c r="P294" s="42"/>
      <c r="Q294" s="42"/>
      <c r="R294" s="50"/>
      <c r="S294" s="42"/>
      <c r="T294" s="42"/>
    </row>
    <row r="295" spans="5:20">
      <c r="E295" s="9"/>
      <c r="F295" s="16"/>
      <c r="G295" s="16"/>
      <c r="H295" s="16"/>
      <c r="I295" s="9"/>
      <c r="J295" s="9"/>
      <c r="K295" s="9"/>
      <c r="L295" s="9"/>
      <c r="M295" s="9"/>
      <c r="N295" s="9"/>
      <c r="O295" s="46"/>
      <c r="P295" s="42"/>
      <c r="Q295" s="42"/>
      <c r="R295" s="50"/>
      <c r="S295" s="42"/>
      <c r="T295" s="42"/>
    </row>
    <row r="296" spans="5:20">
      <c r="E296" s="9"/>
      <c r="F296" s="16"/>
      <c r="G296" s="16"/>
      <c r="H296" s="16"/>
      <c r="I296" s="9"/>
      <c r="J296" s="9"/>
      <c r="K296" s="9"/>
      <c r="L296" s="9"/>
      <c r="M296" s="9"/>
      <c r="N296" s="9"/>
      <c r="O296" s="46"/>
      <c r="P296" s="42"/>
      <c r="Q296" s="42"/>
      <c r="R296" s="50"/>
      <c r="S296" s="42"/>
      <c r="T296" s="42"/>
    </row>
    <row r="297" spans="5:20">
      <c r="E297" s="9"/>
      <c r="F297" s="16"/>
      <c r="G297" s="16"/>
      <c r="H297" s="16"/>
      <c r="I297" s="9"/>
      <c r="J297" s="9"/>
      <c r="K297" s="9"/>
      <c r="L297" s="9"/>
      <c r="M297" s="9"/>
      <c r="N297" s="9"/>
      <c r="O297" s="46"/>
      <c r="P297" s="42"/>
      <c r="Q297" s="42"/>
      <c r="R297" s="50"/>
      <c r="S297" s="42"/>
      <c r="T297" s="42"/>
    </row>
    <row r="298" spans="5:20">
      <c r="E298" s="9"/>
      <c r="F298" s="16"/>
      <c r="G298" s="16"/>
      <c r="H298" s="16"/>
      <c r="I298" s="9"/>
      <c r="J298" s="9"/>
      <c r="K298" s="9"/>
      <c r="L298" s="9"/>
      <c r="M298" s="9"/>
      <c r="N298" s="9"/>
      <c r="O298" s="46"/>
      <c r="P298" s="42"/>
      <c r="Q298" s="42"/>
      <c r="R298" s="50"/>
      <c r="S298" s="42"/>
      <c r="T298" s="42"/>
    </row>
    <row r="299" spans="5:20">
      <c r="E299" s="9"/>
      <c r="F299" s="16"/>
      <c r="G299" s="16"/>
      <c r="H299" s="16"/>
      <c r="I299" s="9"/>
      <c r="J299" s="9"/>
      <c r="K299" s="9"/>
      <c r="L299" s="9"/>
      <c r="M299" s="9"/>
      <c r="N299" s="9"/>
      <c r="O299" s="46"/>
      <c r="P299" s="42"/>
      <c r="Q299" s="42"/>
      <c r="R299" s="50"/>
      <c r="S299" s="42"/>
      <c r="T299" s="42"/>
    </row>
    <row r="300" spans="5:20">
      <c r="E300" s="9"/>
      <c r="F300" s="16"/>
      <c r="G300" s="16"/>
      <c r="H300" s="16"/>
      <c r="I300" s="9"/>
      <c r="J300" s="9"/>
      <c r="K300" s="9"/>
      <c r="L300" s="9"/>
      <c r="M300" s="9"/>
      <c r="N300" s="9"/>
      <c r="O300" s="46"/>
      <c r="P300" s="42"/>
      <c r="Q300" s="42"/>
      <c r="R300" s="50"/>
      <c r="S300" s="42"/>
      <c r="T300" s="42"/>
    </row>
    <row r="301" spans="5:20">
      <c r="E301" s="9"/>
      <c r="F301" s="16"/>
      <c r="G301" s="16"/>
      <c r="H301" s="16"/>
      <c r="I301" s="9"/>
      <c r="J301" s="9"/>
      <c r="K301" s="9"/>
      <c r="L301" s="9"/>
      <c r="M301" s="9"/>
      <c r="N301" s="9"/>
      <c r="O301" s="46"/>
      <c r="P301" s="42"/>
      <c r="Q301" s="42"/>
      <c r="R301" s="50"/>
      <c r="S301" s="42"/>
      <c r="T301" s="42"/>
    </row>
    <row r="302" spans="5:20">
      <c r="E302" s="9"/>
      <c r="F302" s="16"/>
      <c r="G302" s="16"/>
      <c r="H302" s="16"/>
      <c r="I302" s="9"/>
      <c r="J302" s="9"/>
      <c r="K302" s="9"/>
      <c r="L302" s="9"/>
      <c r="M302" s="9"/>
      <c r="N302" s="9"/>
      <c r="O302" s="46"/>
      <c r="P302" s="42"/>
      <c r="Q302" s="42"/>
      <c r="R302" s="50"/>
      <c r="S302" s="42"/>
      <c r="T302" s="42"/>
    </row>
    <row r="303" spans="5:20">
      <c r="E303" s="9"/>
      <c r="F303" s="16"/>
      <c r="G303" s="16"/>
      <c r="H303" s="16"/>
      <c r="I303" s="9"/>
      <c r="J303" s="9"/>
      <c r="K303" s="9"/>
      <c r="L303" s="9"/>
      <c r="M303" s="9"/>
      <c r="N303" s="9"/>
      <c r="O303" s="46"/>
      <c r="P303" s="42"/>
      <c r="Q303" s="42"/>
      <c r="R303" s="50"/>
      <c r="S303" s="42"/>
      <c r="T303" s="42"/>
    </row>
    <row r="304" spans="5:20">
      <c r="E304" s="9"/>
      <c r="F304" s="16"/>
      <c r="G304" s="16"/>
      <c r="H304" s="16"/>
      <c r="I304" s="9"/>
      <c r="J304" s="9"/>
      <c r="K304" s="9"/>
      <c r="L304" s="9"/>
      <c r="M304" s="9"/>
      <c r="N304" s="9"/>
      <c r="O304" s="46"/>
      <c r="P304" s="42"/>
      <c r="Q304" s="42"/>
      <c r="R304" s="50"/>
      <c r="S304" s="42"/>
      <c r="T304" s="42"/>
    </row>
    <row r="305" spans="5:20">
      <c r="E305" s="9"/>
      <c r="F305" s="16"/>
      <c r="G305" s="16"/>
      <c r="H305" s="16"/>
      <c r="I305" s="9"/>
      <c r="J305" s="9"/>
      <c r="K305" s="9"/>
      <c r="L305" s="9"/>
      <c r="M305" s="9"/>
      <c r="N305" s="9"/>
      <c r="O305" s="46"/>
      <c r="P305" s="42"/>
      <c r="Q305" s="42"/>
      <c r="R305" s="50"/>
      <c r="S305" s="42"/>
      <c r="T305" s="42"/>
    </row>
    <row r="306" spans="5:20">
      <c r="E306" s="9"/>
      <c r="F306" s="16"/>
      <c r="G306" s="16"/>
      <c r="H306" s="16"/>
      <c r="I306" s="9"/>
      <c r="J306" s="9"/>
      <c r="K306" s="9"/>
      <c r="L306" s="9"/>
      <c r="M306" s="9"/>
      <c r="N306" s="9"/>
      <c r="O306" s="46"/>
      <c r="P306" s="42"/>
      <c r="Q306" s="42"/>
      <c r="R306" s="50"/>
      <c r="S306" s="42"/>
      <c r="T306" s="42"/>
    </row>
    <row r="307" spans="5:20">
      <c r="E307" s="9"/>
      <c r="F307" s="16"/>
      <c r="G307" s="16"/>
      <c r="H307" s="16"/>
      <c r="I307" s="9"/>
      <c r="J307" s="9"/>
      <c r="K307" s="9"/>
      <c r="L307" s="9"/>
      <c r="M307" s="9"/>
      <c r="N307" s="9"/>
      <c r="O307" s="46"/>
      <c r="P307" s="42"/>
      <c r="Q307" s="42"/>
      <c r="R307" s="50"/>
      <c r="S307" s="42"/>
      <c r="T307" s="42"/>
    </row>
    <row r="308" spans="5:20">
      <c r="E308" s="9"/>
      <c r="F308" s="16"/>
      <c r="G308" s="16"/>
      <c r="H308" s="16"/>
      <c r="I308" s="9"/>
      <c r="J308" s="9"/>
      <c r="K308" s="9"/>
      <c r="L308" s="9"/>
      <c r="M308" s="9"/>
      <c r="N308" s="9"/>
      <c r="O308" s="46"/>
      <c r="P308" s="42"/>
      <c r="Q308" s="42"/>
      <c r="R308" s="50"/>
      <c r="S308" s="42"/>
      <c r="T308" s="42"/>
    </row>
    <row r="309" spans="5:20">
      <c r="E309" s="9"/>
      <c r="F309" s="16"/>
      <c r="G309" s="16"/>
      <c r="H309" s="16"/>
      <c r="I309" s="9"/>
      <c r="J309" s="9"/>
      <c r="K309" s="9"/>
      <c r="L309" s="9"/>
      <c r="M309" s="9"/>
      <c r="N309" s="9"/>
      <c r="O309" s="46"/>
      <c r="P309" s="42"/>
      <c r="Q309" s="42"/>
      <c r="R309" s="50"/>
      <c r="S309" s="42"/>
      <c r="T309" s="42"/>
    </row>
    <row r="310" spans="5:20">
      <c r="E310" s="9"/>
      <c r="F310" s="16"/>
      <c r="G310" s="16"/>
      <c r="H310" s="16"/>
      <c r="I310" s="9"/>
      <c r="J310" s="9"/>
      <c r="K310" s="9"/>
      <c r="L310" s="9"/>
      <c r="M310" s="9"/>
      <c r="N310" s="9"/>
      <c r="O310" s="9"/>
      <c r="P310" s="9"/>
      <c r="Q310" s="9"/>
      <c r="R310" s="9"/>
      <c r="S310" s="9"/>
      <c r="T310" s="9"/>
    </row>
    <row r="311" spans="5:20">
      <c r="E311" s="9"/>
      <c r="F311" s="16"/>
      <c r="G311" s="16"/>
      <c r="H311" s="16"/>
      <c r="I311" s="9"/>
      <c r="J311" s="9"/>
      <c r="K311" s="9"/>
      <c r="L311" s="9"/>
      <c r="M311" s="9"/>
      <c r="N311" s="9"/>
      <c r="O311" s="9"/>
      <c r="P311" s="9"/>
      <c r="Q311" s="9"/>
      <c r="R311" s="9"/>
      <c r="S311" s="9"/>
      <c r="T311" s="9"/>
    </row>
    <row r="312" spans="5:20">
      <c r="E312" s="9"/>
      <c r="F312" s="16"/>
      <c r="G312" s="16"/>
      <c r="H312" s="16"/>
      <c r="I312" s="9"/>
      <c r="J312" s="9"/>
      <c r="K312" s="9"/>
      <c r="L312" s="9"/>
      <c r="M312" s="9"/>
      <c r="N312" s="9"/>
      <c r="O312" s="9"/>
      <c r="P312" s="9"/>
      <c r="Q312" s="9"/>
      <c r="R312" s="9"/>
      <c r="S312" s="9"/>
      <c r="T312" s="9"/>
    </row>
    <row r="313" spans="5:20">
      <c r="E313" s="9"/>
      <c r="F313" s="16"/>
      <c r="G313" s="16"/>
      <c r="H313" s="16"/>
      <c r="I313" s="9"/>
      <c r="J313" s="9"/>
      <c r="K313" s="9"/>
      <c r="L313" s="9"/>
      <c r="M313" s="9"/>
      <c r="N313" s="9"/>
      <c r="O313" s="9"/>
      <c r="P313" s="9"/>
      <c r="Q313" s="9"/>
      <c r="R313" s="9"/>
      <c r="S313" s="9"/>
      <c r="T313" s="9"/>
    </row>
    <row r="314" spans="5:20">
      <c r="E314" s="9"/>
      <c r="F314" s="16"/>
      <c r="G314" s="16"/>
      <c r="H314" s="16"/>
      <c r="I314" s="9"/>
      <c r="J314" s="9"/>
      <c r="K314" s="9"/>
      <c r="L314" s="9"/>
      <c r="M314" s="9"/>
      <c r="N314" s="9"/>
      <c r="O314" s="9"/>
      <c r="P314" s="9"/>
      <c r="Q314" s="9"/>
      <c r="R314" s="9"/>
      <c r="S314" s="9"/>
      <c r="T314" s="9"/>
    </row>
    <row r="315" spans="5:20">
      <c r="E315" s="9"/>
      <c r="F315" s="16"/>
      <c r="G315" s="16"/>
      <c r="H315" s="16"/>
      <c r="I315" s="9"/>
      <c r="J315" s="9"/>
      <c r="K315" s="9"/>
      <c r="L315" s="9"/>
      <c r="M315" s="9"/>
      <c r="N315" s="9"/>
      <c r="O315" s="9"/>
      <c r="P315" s="9"/>
      <c r="Q315" s="9"/>
      <c r="R315" s="9"/>
      <c r="S315" s="9"/>
      <c r="T315" s="9"/>
    </row>
    <row r="316" spans="5:20">
      <c r="E316" s="9"/>
      <c r="F316" s="16"/>
      <c r="G316" s="16"/>
      <c r="H316" s="16"/>
      <c r="I316" s="9"/>
      <c r="J316" s="9"/>
      <c r="K316" s="9"/>
      <c r="L316" s="9"/>
      <c r="M316" s="9"/>
      <c r="N316" s="9"/>
      <c r="O316" s="9"/>
      <c r="P316" s="9"/>
      <c r="Q316" s="9"/>
      <c r="R316" s="9"/>
      <c r="S316" s="9"/>
      <c r="T316" s="9"/>
    </row>
    <row r="317" spans="5:20">
      <c r="E317" s="9"/>
      <c r="F317" s="16"/>
      <c r="G317" s="16"/>
      <c r="H317" s="16"/>
      <c r="I317" s="9"/>
      <c r="J317" s="9"/>
      <c r="K317" s="9"/>
      <c r="L317" s="9"/>
      <c r="M317" s="9"/>
      <c r="N317" s="9"/>
      <c r="O317" s="9"/>
      <c r="P317" s="9"/>
      <c r="Q317" s="9"/>
      <c r="R317" s="9"/>
      <c r="S317" s="9"/>
      <c r="T317" s="9"/>
    </row>
    <row r="318" spans="5:20">
      <c r="E318" s="9"/>
      <c r="F318" s="16"/>
      <c r="G318" s="16"/>
      <c r="H318" s="16"/>
      <c r="I318" s="9"/>
      <c r="J318" s="9"/>
      <c r="K318" s="9"/>
      <c r="L318" s="9"/>
      <c r="M318" s="9"/>
      <c r="N318" s="9"/>
      <c r="O318" s="9"/>
      <c r="P318" s="9"/>
      <c r="Q318" s="9"/>
      <c r="R318" s="9"/>
      <c r="S318" s="9"/>
      <c r="T318" s="9"/>
    </row>
    <row r="319" spans="5:20">
      <c r="E319" s="9"/>
      <c r="F319" s="16"/>
      <c r="G319" s="16"/>
      <c r="H319" s="16"/>
      <c r="I319" s="9"/>
      <c r="J319" s="9"/>
      <c r="K319" s="9"/>
      <c r="L319" s="9"/>
      <c r="M319" s="9"/>
      <c r="N319" s="9"/>
      <c r="O319" s="9"/>
      <c r="P319" s="9"/>
      <c r="Q319" s="9"/>
      <c r="R319" s="9"/>
      <c r="S319" s="9"/>
      <c r="T319" s="9"/>
    </row>
    <row r="320" spans="5:20">
      <c r="E320" s="9"/>
      <c r="F320" s="16"/>
      <c r="G320" s="16"/>
      <c r="H320" s="16"/>
      <c r="I320" s="9"/>
      <c r="J320" s="9"/>
      <c r="K320" s="9"/>
      <c r="L320" s="9"/>
      <c r="M320" s="9"/>
      <c r="N320" s="9"/>
      <c r="O320" s="9"/>
      <c r="P320" s="9"/>
      <c r="Q320" s="9"/>
      <c r="R320" s="9"/>
      <c r="S320" s="9"/>
      <c r="T320" s="9"/>
    </row>
    <row r="321" spans="6:8" s="9" customFormat="1">
      <c r="F321" s="16"/>
      <c r="G321" s="16"/>
      <c r="H321" s="16"/>
    </row>
    <row r="322" spans="6:8" s="9" customFormat="1">
      <c r="F322" s="16"/>
      <c r="G322" s="16"/>
      <c r="H322" s="16"/>
    </row>
    <row r="323" spans="6:8" s="9" customFormat="1">
      <c r="F323" s="16"/>
      <c r="G323" s="16"/>
      <c r="H323" s="16"/>
    </row>
    <row r="324" spans="6:8" s="9" customFormat="1">
      <c r="F324" s="16"/>
      <c r="G324" s="16"/>
      <c r="H324" s="16"/>
    </row>
    <row r="325" spans="6:8" s="9" customFormat="1">
      <c r="F325" s="16"/>
      <c r="G325" s="16"/>
      <c r="H325" s="16"/>
    </row>
    <row r="326" spans="6:8" s="9" customFormat="1">
      <c r="F326" s="16"/>
      <c r="G326" s="16"/>
      <c r="H326" s="16"/>
    </row>
    <row r="327" spans="6:8" s="9" customFormat="1">
      <c r="F327" s="16"/>
      <c r="G327" s="16"/>
      <c r="H327" s="16"/>
    </row>
    <row r="328" spans="6:8" s="9" customFormat="1">
      <c r="F328" s="16"/>
      <c r="G328" s="16"/>
      <c r="H328" s="16"/>
    </row>
    <row r="329" spans="6:8" s="9" customFormat="1">
      <c r="F329" s="16"/>
      <c r="G329" s="16"/>
      <c r="H329" s="16"/>
    </row>
    <row r="330" spans="6:8" s="9" customFormat="1">
      <c r="F330" s="16"/>
      <c r="G330" s="16"/>
      <c r="H330" s="16"/>
    </row>
    <row r="331" spans="6:8" s="9" customFormat="1">
      <c r="F331" s="16"/>
      <c r="G331" s="16"/>
      <c r="H331" s="16"/>
    </row>
    <row r="332" spans="6:8" s="9" customFormat="1">
      <c r="F332" s="16"/>
      <c r="G332" s="16"/>
      <c r="H332" s="16"/>
    </row>
    <row r="333" spans="6:8" s="9" customFormat="1">
      <c r="F333" s="16"/>
      <c r="G333" s="16"/>
      <c r="H333" s="16"/>
    </row>
    <row r="334" spans="6:8" s="9" customFormat="1">
      <c r="F334" s="16"/>
      <c r="G334" s="16"/>
      <c r="H334" s="16"/>
    </row>
    <row r="335" spans="6:8" s="9" customFormat="1">
      <c r="F335" s="16"/>
      <c r="G335" s="16"/>
      <c r="H335" s="16"/>
    </row>
    <row r="336" spans="6:8" s="9" customFormat="1">
      <c r="F336" s="16"/>
      <c r="G336" s="16"/>
      <c r="H336" s="16"/>
    </row>
    <row r="337" spans="6:8" s="9" customFormat="1">
      <c r="F337" s="16"/>
      <c r="G337" s="16"/>
      <c r="H337" s="16"/>
    </row>
    <row r="338" spans="6:8" s="9" customFormat="1">
      <c r="F338" s="16"/>
      <c r="G338" s="16"/>
      <c r="H338" s="16"/>
    </row>
    <row r="339" spans="6:8" s="9" customFormat="1">
      <c r="F339" s="16"/>
      <c r="G339" s="16"/>
      <c r="H339" s="16"/>
    </row>
    <row r="340" spans="6:8" s="9" customFormat="1">
      <c r="F340" s="16"/>
      <c r="G340" s="16"/>
      <c r="H340" s="16"/>
    </row>
    <row r="341" spans="6:8" s="9" customFormat="1">
      <c r="F341" s="16"/>
      <c r="G341" s="16"/>
      <c r="H341" s="16"/>
    </row>
    <row r="342" spans="6:8" s="9" customFormat="1">
      <c r="F342" s="16"/>
      <c r="G342" s="16"/>
      <c r="H342" s="16"/>
    </row>
    <row r="343" spans="6:8" s="9" customFormat="1">
      <c r="F343" s="16"/>
      <c r="G343" s="16"/>
      <c r="H343" s="16"/>
    </row>
    <row r="344" spans="6:8" s="9" customFormat="1">
      <c r="F344" s="16"/>
      <c r="G344" s="16"/>
      <c r="H344" s="16"/>
    </row>
    <row r="345" spans="6:8" s="9" customFormat="1">
      <c r="F345" s="16"/>
      <c r="G345" s="16"/>
      <c r="H345" s="16"/>
    </row>
    <row r="346" spans="6:8" s="9" customFormat="1">
      <c r="F346" s="16"/>
      <c r="G346" s="16"/>
      <c r="H346" s="16"/>
    </row>
    <row r="347" spans="6:8" s="9" customFormat="1">
      <c r="F347" s="16"/>
      <c r="G347" s="16"/>
      <c r="H347" s="16"/>
    </row>
    <row r="348" spans="6:8" s="9" customFormat="1">
      <c r="F348" s="16"/>
      <c r="G348" s="16"/>
      <c r="H348" s="16"/>
    </row>
    <row r="349" spans="6:8" s="9" customFormat="1">
      <c r="F349" s="16"/>
      <c r="G349" s="16"/>
      <c r="H349" s="16"/>
    </row>
    <row r="350" spans="6:8" s="9" customFormat="1">
      <c r="F350" s="16"/>
      <c r="G350" s="16"/>
      <c r="H350" s="16"/>
    </row>
    <row r="351" spans="6:8" s="9" customFormat="1">
      <c r="F351" s="16"/>
      <c r="G351" s="16"/>
      <c r="H351" s="16"/>
    </row>
    <row r="352" spans="6:8" s="9" customFormat="1">
      <c r="F352" s="16"/>
      <c r="G352" s="16"/>
      <c r="H352" s="16"/>
    </row>
    <row r="353" spans="6:8" s="9" customFormat="1">
      <c r="F353" s="16"/>
      <c r="G353" s="16"/>
      <c r="H353" s="16"/>
    </row>
    <row r="354" spans="6:8" s="9" customFormat="1">
      <c r="F354" s="16"/>
      <c r="G354" s="16"/>
      <c r="H354" s="16"/>
    </row>
    <row r="355" spans="6:8" s="9" customFormat="1">
      <c r="F355" s="16"/>
      <c r="G355" s="16"/>
      <c r="H355" s="16"/>
    </row>
    <row r="356" spans="6:8" s="9" customFormat="1">
      <c r="F356" s="16"/>
      <c r="G356" s="16"/>
      <c r="H356" s="16"/>
    </row>
    <row r="357" spans="6:8" s="9" customFormat="1">
      <c r="F357" s="16"/>
      <c r="G357" s="16"/>
      <c r="H357" s="16"/>
    </row>
    <row r="358" spans="6:8" s="9" customFormat="1">
      <c r="F358" s="16"/>
      <c r="G358" s="16"/>
      <c r="H358" s="16"/>
    </row>
    <row r="359" spans="6:8" s="9" customFormat="1">
      <c r="F359" s="16"/>
      <c r="G359" s="16"/>
      <c r="H359" s="16"/>
    </row>
    <row r="360" spans="6:8" s="9" customFormat="1">
      <c r="F360" s="16"/>
      <c r="G360" s="16"/>
      <c r="H360" s="16"/>
    </row>
    <row r="361" spans="6:8" s="9" customFormat="1">
      <c r="F361" s="16"/>
      <c r="G361" s="16"/>
      <c r="H361" s="16"/>
    </row>
    <row r="362" spans="6:8" s="9" customFormat="1">
      <c r="F362" s="16"/>
      <c r="G362" s="16"/>
      <c r="H362" s="16"/>
    </row>
    <row r="363" spans="6:8" s="9" customFormat="1">
      <c r="F363" s="16"/>
      <c r="G363" s="16"/>
      <c r="H363" s="16"/>
    </row>
    <row r="364" spans="6:8" s="9" customFormat="1">
      <c r="F364" s="16"/>
      <c r="G364" s="16"/>
      <c r="H364" s="16"/>
    </row>
    <row r="365" spans="6:8" s="9" customFormat="1">
      <c r="F365" s="16"/>
      <c r="G365" s="16"/>
      <c r="H365" s="16"/>
    </row>
    <row r="366" spans="6:8" s="9" customFormat="1">
      <c r="F366" s="16"/>
      <c r="G366" s="16"/>
      <c r="H366" s="16"/>
    </row>
    <row r="367" spans="6:8" s="9" customFormat="1">
      <c r="F367" s="16"/>
      <c r="G367" s="16"/>
      <c r="H367" s="16"/>
    </row>
    <row r="368" spans="6:8" s="9" customFormat="1">
      <c r="F368" s="16"/>
      <c r="G368" s="16"/>
      <c r="H368" s="16"/>
    </row>
    <row r="369" spans="6:8" s="9" customFormat="1">
      <c r="F369" s="16"/>
      <c r="G369" s="16"/>
      <c r="H369" s="16"/>
    </row>
    <row r="370" spans="6:8" s="9" customFormat="1">
      <c r="F370" s="16"/>
      <c r="G370" s="16"/>
      <c r="H370" s="16"/>
    </row>
    <row r="371" spans="6:8" s="9" customFormat="1">
      <c r="F371" s="16"/>
      <c r="G371" s="16"/>
      <c r="H371" s="16"/>
    </row>
    <row r="372" spans="6:8" s="9" customFormat="1">
      <c r="F372" s="16"/>
      <c r="G372" s="16"/>
      <c r="H372" s="16"/>
    </row>
    <row r="373" spans="6:8" s="9" customFormat="1">
      <c r="F373" s="16"/>
      <c r="G373" s="16"/>
      <c r="H373" s="16"/>
    </row>
    <row r="374" spans="6:8" s="9" customFormat="1">
      <c r="F374" s="16"/>
      <c r="G374" s="16"/>
      <c r="H374" s="16"/>
    </row>
    <row r="375" spans="6:8" s="9" customFormat="1">
      <c r="F375" s="16"/>
      <c r="G375" s="16"/>
      <c r="H375" s="16"/>
    </row>
    <row r="376" spans="6:8" s="9" customFormat="1">
      <c r="F376" s="16"/>
      <c r="G376" s="16"/>
      <c r="H376" s="16"/>
    </row>
    <row r="377" spans="6:8" s="9" customFormat="1">
      <c r="F377" s="16"/>
      <c r="G377" s="16"/>
      <c r="H377" s="16"/>
    </row>
    <row r="378" spans="6:8" s="9" customFormat="1">
      <c r="F378" s="16"/>
      <c r="G378" s="16"/>
      <c r="H378" s="16"/>
    </row>
    <row r="379" spans="6:8" s="9" customFormat="1">
      <c r="F379" s="16"/>
      <c r="G379" s="16"/>
      <c r="H379" s="16"/>
    </row>
    <row r="380" spans="6:8" s="9" customFormat="1">
      <c r="F380" s="16"/>
      <c r="G380" s="16"/>
      <c r="H380" s="16"/>
    </row>
    <row r="381" spans="6:8" s="9" customFormat="1">
      <c r="F381" s="16"/>
      <c r="G381" s="16"/>
      <c r="H381" s="16"/>
    </row>
    <row r="382" spans="6:8" s="9" customFormat="1">
      <c r="F382" s="16"/>
      <c r="G382" s="16"/>
      <c r="H382" s="16"/>
    </row>
    <row r="383" spans="6:8" s="9" customFormat="1">
      <c r="F383" s="16"/>
      <c r="G383" s="16"/>
      <c r="H383" s="16"/>
    </row>
    <row r="384" spans="6:8" s="9" customFormat="1">
      <c r="F384" s="16"/>
      <c r="G384" s="16"/>
      <c r="H384" s="16"/>
    </row>
    <row r="385" spans="6:8" s="9" customFormat="1">
      <c r="F385" s="16"/>
      <c r="G385" s="16"/>
      <c r="H385" s="16"/>
    </row>
    <row r="386" spans="6:8" s="9" customFormat="1">
      <c r="F386" s="16"/>
      <c r="G386" s="16"/>
      <c r="H386" s="16"/>
    </row>
    <row r="387" spans="6:8" s="9" customFormat="1">
      <c r="F387" s="16"/>
      <c r="G387" s="16"/>
      <c r="H387" s="16"/>
    </row>
    <row r="388" spans="6:8" s="9" customFormat="1">
      <c r="F388" s="16"/>
      <c r="G388" s="16"/>
      <c r="H388" s="16"/>
    </row>
    <row r="389" spans="6:8" s="9" customFormat="1">
      <c r="F389" s="16"/>
      <c r="G389" s="16"/>
      <c r="H389" s="16"/>
    </row>
    <row r="390" spans="6:8" s="9" customFormat="1">
      <c r="F390" s="16"/>
      <c r="G390" s="16"/>
      <c r="H390" s="16"/>
    </row>
    <row r="391" spans="6:8" s="9" customFormat="1">
      <c r="F391" s="16"/>
      <c r="G391" s="16"/>
      <c r="H391" s="16"/>
    </row>
    <row r="392" spans="6:8" s="9" customFormat="1">
      <c r="F392" s="16"/>
      <c r="G392" s="16"/>
      <c r="H392" s="16"/>
    </row>
    <row r="393" spans="6:8" s="9" customFormat="1">
      <c r="F393" s="16"/>
      <c r="G393" s="16"/>
      <c r="H393" s="16"/>
    </row>
    <row r="394" spans="6:8" s="9" customFormat="1">
      <c r="F394" s="16"/>
      <c r="G394" s="16"/>
      <c r="H394" s="16"/>
    </row>
    <row r="395" spans="6:8" s="9" customFormat="1">
      <c r="F395" s="16"/>
      <c r="G395" s="16"/>
      <c r="H395" s="16"/>
    </row>
    <row r="396" spans="6:8" s="9" customFormat="1">
      <c r="F396" s="16"/>
      <c r="G396" s="16"/>
      <c r="H396" s="16"/>
    </row>
    <row r="397" spans="6:8" s="9" customFormat="1">
      <c r="F397" s="16"/>
      <c r="G397" s="16"/>
      <c r="H397" s="16"/>
    </row>
    <row r="398" spans="6:8" s="9" customFormat="1">
      <c r="F398" s="16"/>
      <c r="G398" s="16"/>
      <c r="H398" s="16"/>
    </row>
    <row r="399" spans="6:8" s="9" customFormat="1">
      <c r="F399" s="16"/>
      <c r="G399" s="16"/>
      <c r="H399" s="16"/>
    </row>
    <row r="400" spans="6:8" s="9" customFormat="1">
      <c r="F400" s="16"/>
      <c r="G400" s="16"/>
      <c r="H400" s="16"/>
    </row>
    <row r="401" spans="6:8" s="9" customFormat="1">
      <c r="F401" s="16"/>
      <c r="G401" s="16"/>
      <c r="H401" s="16"/>
    </row>
    <row r="402" spans="6:8" s="9" customFormat="1">
      <c r="F402" s="16"/>
      <c r="G402" s="16"/>
      <c r="H402" s="16"/>
    </row>
    <row r="403" spans="6:8" s="9" customFormat="1">
      <c r="F403" s="16"/>
      <c r="G403" s="16"/>
      <c r="H403" s="16"/>
    </row>
    <row r="404" spans="6:8" s="9" customFormat="1">
      <c r="F404" s="16"/>
      <c r="G404" s="16"/>
      <c r="H404" s="16"/>
    </row>
    <row r="405" spans="6:8" s="9" customFormat="1">
      <c r="F405" s="16"/>
      <c r="G405" s="16"/>
      <c r="H405" s="16"/>
    </row>
    <row r="406" spans="6:8" s="9" customFormat="1">
      <c r="F406" s="16"/>
      <c r="G406" s="16"/>
      <c r="H406" s="16"/>
    </row>
    <row r="407" spans="6:8" s="9" customFormat="1">
      <c r="F407" s="16"/>
      <c r="G407" s="16"/>
      <c r="H407" s="16"/>
    </row>
    <row r="408" spans="6:8" s="9" customFormat="1">
      <c r="F408" s="16"/>
      <c r="G408" s="16"/>
      <c r="H408" s="16"/>
    </row>
    <row r="409" spans="6:8" s="9" customFormat="1">
      <c r="F409" s="16"/>
      <c r="G409" s="16"/>
      <c r="H409" s="16"/>
    </row>
    <row r="410" spans="6:8" s="9" customFormat="1">
      <c r="F410" s="16"/>
      <c r="G410" s="16"/>
      <c r="H410" s="16"/>
    </row>
    <row r="411" spans="6:8" s="9" customFormat="1">
      <c r="F411" s="16"/>
      <c r="G411" s="16"/>
      <c r="H411" s="16"/>
    </row>
    <row r="412" spans="6:8" s="9" customFormat="1">
      <c r="F412" s="16"/>
      <c r="G412" s="16"/>
      <c r="H412" s="16"/>
    </row>
    <row r="413" spans="6:8" s="9" customFormat="1">
      <c r="F413" s="16"/>
      <c r="G413" s="16"/>
      <c r="H413" s="16"/>
    </row>
    <row r="414" spans="6:8" s="9" customFormat="1">
      <c r="F414" s="16"/>
      <c r="G414" s="16"/>
      <c r="H414" s="16"/>
    </row>
    <row r="415" spans="6:8" s="9" customFormat="1">
      <c r="F415" s="16"/>
      <c r="G415" s="16"/>
      <c r="H415" s="16"/>
    </row>
    <row r="416" spans="6:8" s="9" customFormat="1">
      <c r="F416" s="16"/>
      <c r="G416" s="16"/>
      <c r="H416" s="16"/>
    </row>
    <row r="417" spans="6:8" s="9" customFormat="1">
      <c r="F417" s="16"/>
      <c r="G417" s="16"/>
      <c r="H417" s="16"/>
    </row>
    <row r="418" spans="6:8" s="9" customFormat="1">
      <c r="F418" s="16"/>
      <c r="G418" s="16"/>
      <c r="H418" s="16"/>
    </row>
    <row r="419" spans="6:8" s="9" customFormat="1">
      <c r="F419" s="16"/>
      <c r="G419" s="16"/>
      <c r="H419" s="16"/>
    </row>
    <row r="420" spans="6:8" s="9" customFormat="1">
      <c r="F420" s="16"/>
      <c r="G420" s="16"/>
      <c r="H420" s="16"/>
    </row>
    <row r="421" spans="6:8" s="9" customFormat="1">
      <c r="F421" s="16"/>
      <c r="G421" s="16"/>
      <c r="H421" s="16"/>
    </row>
    <row r="422" spans="6:8" s="9" customFormat="1">
      <c r="F422" s="16"/>
      <c r="G422" s="16"/>
      <c r="H422" s="16"/>
    </row>
    <row r="423" spans="6:8" s="9" customFormat="1">
      <c r="F423" s="16"/>
      <c r="G423" s="16"/>
      <c r="H423" s="16"/>
    </row>
    <row r="424" spans="6:8" s="9" customFormat="1">
      <c r="F424" s="16"/>
      <c r="G424" s="16"/>
      <c r="H424" s="16"/>
    </row>
    <row r="425" spans="6:8" s="9" customFormat="1">
      <c r="F425" s="16"/>
      <c r="G425" s="16"/>
      <c r="H425" s="16"/>
    </row>
    <row r="426" spans="6:8" s="9" customFormat="1">
      <c r="F426" s="16"/>
      <c r="G426" s="16"/>
      <c r="H426" s="16"/>
    </row>
    <row r="427" spans="6:8" s="9" customFormat="1">
      <c r="F427" s="16"/>
      <c r="G427" s="16"/>
      <c r="H427" s="16"/>
    </row>
    <row r="428" spans="6:8" s="9" customFormat="1">
      <c r="F428" s="16"/>
      <c r="G428" s="16"/>
      <c r="H428" s="16"/>
    </row>
    <row r="429" spans="6:8" s="9" customFormat="1">
      <c r="F429" s="16"/>
      <c r="G429" s="16"/>
      <c r="H429" s="16"/>
    </row>
    <row r="430" spans="6:8" s="9" customFormat="1">
      <c r="F430" s="16"/>
      <c r="G430" s="16"/>
      <c r="H430" s="16"/>
    </row>
    <row r="431" spans="6:8" s="9" customFormat="1">
      <c r="F431" s="16"/>
      <c r="G431" s="16"/>
      <c r="H431" s="16"/>
    </row>
    <row r="432" spans="6:8" s="9" customFormat="1">
      <c r="F432" s="16"/>
      <c r="G432" s="16"/>
      <c r="H432" s="16"/>
    </row>
    <row r="433" spans="6:8" s="9" customFormat="1">
      <c r="F433" s="16"/>
      <c r="G433" s="16"/>
      <c r="H433" s="16"/>
    </row>
    <row r="434" spans="6:8" s="9" customFormat="1">
      <c r="F434" s="16"/>
      <c r="G434" s="16"/>
      <c r="H434" s="16"/>
    </row>
    <row r="435" spans="6:8" s="9" customFormat="1">
      <c r="F435" s="16"/>
      <c r="G435" s="16"/>
      <c r="H435" s="16"/>
    </row>
    <row r="436" spans="6:8" s="9" customFormat="1">
      <c r="F436" s="16"/>
      <c r="G436" s="16"/>
      <c r="H436" s="16"/>
    </row>
    <row r="437" spans="6:8" s="9" customFormat="1">
      <c r="F437" s="16"/>
      <c r="G437" s="16"/>
      <c r="H437" s="16"/>
    </row>
    <row r="438" spans="6:8" s="9" customFormat="1">
      <c r="F438" s="16"/>
      <c r="G438" s="16"/>
      <c r="H438" s="16"/>
    </row>
    <row r="439" spans="6:8" s="9" customFormat="1">
      <c r="F439" s="16"/>
      <c r="G439" s="16"/>
      <c r="H439" s="16"/>
    </row>
    <row r="440" spans="6:8" s="9" customFormat="1">
      <c r="F440" s="16"/>
      <c r="G440" s="16"/>
      <c r="H440" s="16"/>
    </row>
    <row r="441" spans="6:8" s="9" customFormat="1">
      <c r="F441" s="16"/>
      <c r="G441" s="16"/>
      <c r="H441" s="16"/>
    </row>
    <row r="442" spans="6:8" s="9" customFormat="1">
      <c r="F442" s="16"/>
      <c r="G442" s="16"/>
      <c r="H442" s="16"/>
    </row>
    <row r="443" spans="6:8" s="9" customFormat="1">
      <c r="F443" s="16"/>
      <c r="G443" s="16"/>
      <c r="H443" s="16"/>
    </row>
    <row r="444" spans="6:8" s="9" customFormat="1">
      <c r="F444" s="16"/>
      <c r="G444" s="16"/>
      <c r="H444" s="16"/>
    </row>
    <row r="445" spans="6:8" s="9" customFormat="1">
      <c r="F445" s="16"/>
      <c r="G445" s="16"/>
      <c r="H445" s="16"/>
    </row>
    <row r="446" spans="6:8" s="9" customFormat="1">
      <c r="F446" s="16"/>
      <c r="G446" s="16"/>
      <c r="H446" s="16"/>
    </row>
    <row r="447" spans="6:8" s="9" customFormat="1">
      <c r="F447" s="16"/>
      <c r="G447" s="16"/>
      <c r="H447" s="16"/>
    </row>
    <row r="448" spans="6:8" s="9" customFormat="1">
      <c r="F448" s="16"/>
      <c r="G448" s="16"/>
      <c r="H448" s="16"/>
    </row>
    <row r="449" spans="6:8" s="9" customFormat="1">
      <c r="F449" s="16"/>
      <c r="G449" s="16"/>
      <c r="H449" s="16"/>
    </row>
    <row r="450" spans="6:8" s="9" customFormat="1">
      <c r="F450" s="16"/>
      <c r="G450" s="16"/>
      <c r="H450" s="16"/>
    </row>
    <row r="451" spans="6:8" s="9" customFormat="1">
      <c r="F451" s="16"/>
      <c r="G451" s="16"/>
      <c r="H451" s="16"/>
    </row>
    <row r="452" spans="6:8" s="9" customFormat="1">
      <c r="F452" s="16"/>
      <c r="G452" s="16"/>
      <c r="H452" s="16"/>
    </row>
    <row r="453" spans="6:8" s="9" customFormat="1">
      <c r="F453" s="16"/>
      <c r="G453" s="16"/>
      <c r="H453" s="16"/>
    </row>
    <row r="454" spans="6:8" s="9" customFormat="1">
      <c r="F454" s="16"/>
      <c r="G454" s="16"/>
      <c r="H454" s="16"/>
    </row>
    <row r="455" spans="6:8" s="9" customFormat="1">
      <c r="F455" s="16"/>
      <c r="G455" s="16"/>
      <c r="H455" s="16"/>
    </row>
    <row r="456" spans="6:8" s="9" customFormat="1">
      <c r="F456" s="16"/>
      <c r="G456" s="16"/>
      <c r="H456" s="16"/>
    </row>
    <row r="457" spans="6:8" s="9" customFormat="1">
      <c r="F457" s="16"/>
      <c r="G457" s="16"/>
      <c r="H457" s="16"/>
    </row>
    <row r="458" spans="6:8" s="9" customFormat="1">
      <c r="F458" s="16"/>
      <c r="G458" s="16"/>
      <c r="H458" s="16"/>
    </row>
    <row r="459" spans="6:8" s="9" customFormat="1">
      <c r="F459" s="16"/>
      <c r="G459" s="16"/>
      <c r="H459" s="16"/>
    </row>
    <row r="460" spans="6:8" s="9" customFormat="1">
      <c r="F460" s="16"/>
      <c r="G460" s="16"/>
      <c r="H460" s="16"/>
    </row>
    <row r="461" spans="6:8" s="9" customFormat="1">
      <c r="F461" s="16"/>
      <c r="G461" s="16"/>
      <c r="H461" s="16"/>
    </row>
    <row r="462" spans="6:8" s="9" customFormat="1">
      <c r="F462" s="16"/>
      <c r="G462" s="16"/>
      <c r="H462" s="16"/>
    </row>
    <row r="463" spans="6:8" s="9" customFormat="1">
      <c r="F463" s="16"/>
      <c r="G463" s="16"/>
      <c r="H463" s="16"/>
    </row>
    <row r="464" spans="6:8" s="9" customFormat="1">
      <c r="F464" s="16"/>
      <c r="G464" s="16"/>
      <c r="H464" s="16"/>
    </row>
    <row r="465" spans="6:8" s="9" customFormat="1">
      <c r="F465" s="16"/>
      <c r="G465" s="16"/>
      <c r="H465" s="16"/>
    </row>
    <row r="466" spans="6:8" s="9" customFormat="1">
      <c r="F466" s="16"/>
      <c r="G466" s="16"/>
      <c r="H466" s="16"/>
    </row>
    <row r="467" spans="6:8" s="9" customFormat="1">
      <c r="F467" s="16"/>
      <c r="G467" s="16"/>
      <c r="H467" s="16"/>
    </row>
    <row r="468" spans="6:8" s="9" customFormat="1">
      <c r="F468" s="16"/>
      <c r="G468" s="16"/>
      <c r="H468" s="16"/>
    </row>
    <row r="469" spans="6:8" s="9" customFormat="1">
      <c r="F469" s="16"/>
      <c r="G469" s="16"/>
      <c r="H469" s="16"/>
    </row>
    <row r="470" spans="6:8" s="9" customFormat="1">
      <c r="F470" s="16"/>
      <c r="G470" s="16"/>
      <c r="H470" s="16"/>
    </row>
    <row r="471" spans="6:8" s="9" customFormat="1">
      <c r="F471" s="16"/>
      <c r="G471" s="16"/>
      <c r="H471" s="16"/>
    </row>
    <row r="472" spans="6:8" s="9" customFormat="1">
      <c r="F472" s="16"/>
      <c r="G472" s="16"/>
      <c r="H472" s="16"/>
    </row>
    <row r="473" spans="6:8" s="9" customFormat="1">
      <c r="F473" s="16"/>
      <c r="G473" s="16"/>
      <c r="H473" s="16"/>
    </row>
    <row r="474" spans="6:8" s="9" customFormat="1">
      <c r="F474" s="16"/>
      <c r="G474" s="16"/>
      <c r="H474" s="16"/>
    </row>
    <row r="475" spans="6:8" s="9" customFormat="1">
      <c r="F475" s="16"/>
      <c r="G475" s="16"/>
      <c r="H475" s="16"/>
    </row>
    <row r="476" spans="6:8" s="9" customFormat="1">
      <c r="F476" s="16"/>
      <c r="G476" s="16"/>
      <c r="H476" s="16"/>
    </row>
    <row r="477" spans="6:8" s="9" customFormat="1">
      <c r="F477" s="16"/>
      <c r="G477" s="16"/>
      <c r="H477" s="16"/>
    </row>
    <row r="478" spans="6:8" s="9" customFormat="1">
      <c r="F478" s="16"/>
      <c r="G478" s="16"/>
      <c r="H478" s="16"/>
    </row>
    <row r="479" spans="6:8" s="9" customFormat="1">
      <c r="F479" s="16"/>
      <c r="G479" s="16"/>
      <c r="H479" s="16"/>
    </row>
    <row r="480" spans="6:8" s="9" customFormat="1">
      <c r="F480" s="16"/>
      <c r="G480" s="16"/>
      <c r="H480" s="16"/>
    </row>
    <row r="481" spans="6:8" s="9" customFormat="1">
      <c r="F481" s="16"/>
      <c r="G481" s="16"/>
      <c r="H481" s="16"/>
    </row>
    <row r="482" spans="6:8" s="9" customFormat="1">
      <c r="F482" s="16"/>
      <c r="G482" s="16"/>
      <c r="H482" s="16"/>
    </row>
    <row r="483" spans="6:8" s="9" customFormat="1">
      <c r="F483" s="16"/>
      <c r="G483" s="16"/>
      <c r="H483" s="16"/>
    </row>
    <row r="484" spans="6:8" s="9" customFormat="1">
      <c r="F484" s="16"/>
      <c r="G484" s="16"/>
      <c r="H484" s="16"/>
    </row>
    <row r="485" spans="6:8" s="9" customFormat="1">
      <c r="F485" s="16"/>
      <c r="G485" s="16"/>
      <c r="H485" s="16"/>
    </row>
    <row r="486" spans="6:8" s="9" customFormat="1">
      <c r="F486" s="16"/>
      <c r="G486" s="16"/>
      <c r="H486" s="16"/>
    </row>
    <row r="487" spans="6:8" s="9" customFormat="1">
      <c r="F487" s="16"/>
      <c r="G487" s="16"/>
      <c r="H487" s="16"/>
    </row>
    <row r="488" spans="6:8" s="9" customFormat="1">
      <c r="F488" s="16"/>
      <c r="G488" s="16"/>
      <c r="H488" s="16"/>
    </row>
    <row r="489" spans="6:8" s="9" customFormat="1">
      <c r="F489" s="16"/>
      <c r="G489" s="16"/>
      <c r="H489" s="16"/>
    </row>
    <row r="490" spans="6:8" s="9" customFormat="1">
      <c r="F490" s="16"/>
      <c r="G490" s="16"/>
      <c r="H490" s="16"/>
    </row>
    <row r="491" spans="6:8" s="9" customFormat="1">
      <c r="F491" s="16"/>
      <c r="G491" s="16"/>
      <c r="H491" s="16"/>
    </row>
    <row r="492" spans="6:8" s="9" customFormat="1">
      <c r="F492" s="16"/>
      <c r="G492" s="16"/>
      <c r="H492" s="16"/>
    </row>
    <row r="493" spans="6:8" s="9" customFormat="1">
      <c r="F493" s="16"/>
      <c r="G493" s="16"/>
      <c r="H493" s="16"/>
    </row>
    <row r="494" spans="6:8" s="9" customFormat="1">
      <c r="F494" s="16"/>
      <c r="G494" s="16"/>
      <c r="H494" s="16"/>
    </row>
    <row r="495" spans="6:8" s="9" customFormat="1">
      <c r="F495" s="16"/>
      <c r="G495" s="16"/>
      <c r="H495" s="16"/>
    </row>
    <row r="496" spans="6:8" s="9" customFormat="1">
      <c r="F496" s="16"/>
      <c r="G496" s="16"/>
      <c r="H496" s="16"/>
    </row>
    <row r="497" spans="6:8" s="9" customFormat="1">
      <c r="F497" s="16"/>
      <c r="G497" s="16"/>
      <c r="H497" s="16"/>
    </row>
    <row r="498" spans="6:8" s="9" customFormat="1">
      <c r="F498" s="16"/>
      <c r="G498" s="16"/>
      <c r="H498" s="16"/>
    </row>
    <row r="499" spans="6:8" s="9" customFormat="1">
      <c r="F499" s="16"/>
      <c r="G499" s="16"/>
      <c r="H499" s="16"/>
    </row>
    <row r="500" spans="6:8" s="9" customFormat="1">
      <c r="F500" s="16"/>
      <c r="G500" s="16"/>
      <c r="H500" s="16"/>
    </row>
    <row r="501" spans="6:8" s="9" customFormat="1">
      <c r="F501" s="16"/>
      <c r="G501" s="16"/>
      <c r="H501" s="16"/>
    </row>
    <row r="502" spans="6:8" s="9" customFormat="1">
      <c r="F502" s="16"/>
      <c r="G502" s="16"/>
      <c r="H502" s="16"/>
    </row>
    <row r="503" spans="6:8" s="9" customFormat="1">
      <c r="F503" s="16"/>
      <c r="G503" s="16"/>
      <c r="H503" s="16"/>
    </row>
    <row r="504" spans="6:8" s="9" customFormat="1">
      <c r="F504" s="16"/>
      <c r="G504" s="16"/>
      <c r="H504" s="16"/>
    </row>
    <row r="505" spans="6:8" s="9" customFormat="1">
      <c r="F505" s="16"/>
      <c r="G505" s="16"/>
      <c r="H505" s="16"/>
    </row>
    <row r="506" spans="6:8" s="9" customFormat="1">
      <c r="F506" s="16"/>
      <c r="G506" s="16"/>
      <c r="H506" s="16"/>
    </row>
    <row r="507" spans="6:8" s="9" customFormat="1">
      <c r="F507" s="16"/>
      <c r="G507" s="16"/>
      <c r="H507" s="16"/>
    </row>
    <row r="508" spans="6:8" s="9" customFormat="1">
      <c r="F508" s="16"/>
      <c r="G508" s="16"/>
      <c r="H508" s="16"/>
    </row>
    <row r="509" spans="6:8" s="9" customFormat="1">
      <c r="F509" s="16"/>
      <c r="G509" s="16"/>
      <c r="H509" s="16"/>
    </row>
    <row r="510" spans="6:8" s="9" customFormat="1">
      <c r="F510" s="16"/>
      <c r="G510" s="16"/>
      <c r="H510" s="16"/>
    </row>
    <row r="511" spans="6:8" s="9" customFormat="1">
      <c r="F511" s="16"/>
      <c r="G511" s="16"/>
      <c r="H511" s="16"/>
    </row>
    <row r="512" spans="6:8" s="9" customFormat="1">
      <c r="F512" s="16"/>
      <c r="G512" s="16"/>
      <c r="H512" s="16"/>
    </row>
    <row r="513" spans="6:8" s="9" customFormat="1">
      <c r="F513" s="16"/>
      <c r="G513" s="16"/>
      <c r="H513" s="16"/>
    </row>
    <row r="514" spans="6:8" s="9" customFormat="1">
      <c r="F514" s="16"/>
      <c r="G514" s="16"/>
      <c r="H514" s="16"/>
    </row>
    <row r="515" spans="6:8" s="9" customFormat="1">
      <c r="F515" s="16"/>
      <c r="G515" s="16"/>
      <c r="H515" s="16"/>
    </row>
    <row r="516" spans="6:8" s="9" customFormat="1">
      <c r="F516" s="16"/>
      <c r="G516" s="16"/>
      <c r="H516" s="16"/>
    </row>
    <row r="517" spans="6:8" s="9" customFormat="1">
      <c r="F517" s="16"/>
      <c r="G517" s="16"/>
      <c r="H517" s="16"/>
    </row>
    <row r="518" spans="6:8" s="9" customFormat="1">
      <c r="F518" s="16"/>
      <c r="G518" s="16"/>
      <c r="H518" s="16"/>
    </row>
    <row r="519" spans="6:8" s="9" customFormat="1">
      <c r="F519" s="16"/>
      <c r="G519" s="16"/>
      <c r="H519" s="16"/>
    </row>
    <row r="520" spans="6:8" s="9" customFormat="1">
      <c r="F520" s="16"/>
      <c r="G520" s="16"/>
      <c r="H520" s="16"/>
    </row>
    <row r="521" spans="6:8" s="9" customFormat="1">
      <c r="F521" s="16"/>
      <c r="G521" s="16"/>
      <c r="H521" s="16"/>
    </row>
    <row r="522" spans="6:8" s="9" customFormat="1">
      <c r="F522" s="16"/>
      <c r="G522" s="16"/>
      <c r="H522" s="16"/>
    </row>
    <row r="523" spans="6:8" s="9" customFormat="1">
      <c r="F523" s="16"/>
      <c r="G523" s="16"/>
      <c r="H523" s="16"/>
    </row>
    <row r="524" spans="6:8" s="9" customFormat="1">
      <c r="F524" s="16"/>
      <c r="G524" s="16"/>
      <c r="H524" s="16"/>
    </row>
    <row r="525" spans="6:8" s="9" customFormat="1">
      <c r="F525" s="16"/>
      <c r="G525" s="16"/>
      <c r="H525" s="16"/>
    </row>
    <row r="526" spans="6:8" s="9" customFormat="1">
      <c r="F526" s="16"/>
      <c r="G526" s="16"/>
      <c r="H526" s="16"/>
    </row>
    <row r="527" spans="6:8" s="9" customFormat="1">
      <c r="F527" s="16"/>
      <c r="G527" s="16"/>
      <c r="H527" s="16"/>
    </row>
    <row r="528" spans="6:8" s="9" customFormat="1">
      <c r="F528" s="16"/>
      <c r="G528" s="16"/>
      <c r="H528" s="16"/>
    </row>
    <row r="529" spans="6:8" s="9" customFormat="1">
      <c r="F529" s="16"/>
      <c r="G529" s="16"/>
      <c r="H529" s="16"/>
    </row>
    <row r="530" spans="6:8" s="9" customFormat="1">
      <c r="F530" s="16"/>
      <c r="G530" s="16"/>
      <c r="H530" s="16"/>
    </row>
    <row r="531" spans="6:8" s="9" customFormat="1">
      <c r="F531" s="16"/>
      <c r="G531" s="16"/>
      <c r="H531" s="16"/>
    </row>
    <row r="532" spans="6:8" s="9" customFormat="1">
      <c r="F532" s="16"/>
      <c r="G532" s="16"/>
      <c r="H532" s="16"/>
    </row>
    <row r="533" spans="6:8" s="9" customFormat="1">
      <c r="F533" s="16"/>
      <c r="G533" s="16"/>
      <c r="H533" s="16"/>
    </row>
    <row r="534" spans="6:8" s="9" customFormat="1">
      <c r="F534" s="16"/>
      <c r="G534" s="16"/>
      <c r="H534" s="16"/>
    </row>
    <row r="535" spans="6:8" s="9" customFormat="1">
      <c r="F535" s="16"/>
      <c r="G535" s="16"/>
      <c r="H535" s="16"/>
    </row>
    <row r="536" spans="6:8" s="9" customFormat="1">
      <c r="F536" s="16"/>
      <c r="G536" s="16"/>
      <c r="H536" s="16"/>
    </row>
    <row r="537" spans="6:8" s="9" customFormat="1">
      <c r="F537" s="16"/>
      <c r="G537" s="16"/>
      <c r="H537" s="16"/>
    </row>
    <row r="538" spans="6:8" s="9" customFormat="1">
      <c r="F538" s="16"/>
      <c r="G538" s="16"/>
      <c r="H538" s="16"/>
    </row>
    <row r="539" spans="6:8" s="9" customFormat="1">
      <c r="F539" s="16"/>
      <c r="G539" s="16"/>
      <c r="H539" s="16"/>
    </row>
    <row r="540" spans="6:8" s="9" customFormat="1">
      <c r="F540" s="16"/>
      <c r="G540" s="16"/>
      <c r="H540" s="16"/>
    </row>
    <row r="541" spans="6:8" s="9" customFormat="1">
      <c r="F541" s="16"/>
      <c r="G541" s="16"/>
      <c r="H541" s="16"/>
    </row>
    <row r="542" spans="6:8" s="9" customFormat="1">
      <c r="F542" s="16"/>
      <c r="G542" s="16"/>
      <c r="H542" s="16"/>
    </row>
    <row r="543" spans="6:8" s="9" customFormat="1">
      <c r="F543" s="16"/>
      <c r="G543" s="16"/>
      <c r="H543" s="16"/>
    </row>
    <row r="544" spans="6:8" s="9" customFormat="1">
      <c r="F544" s="16"/>
      <c r="G544" s="16"/>
      <c r="H544" s="16"/>
    </row>
    <row r="545" spans="6:8" s="9" customFormat="1">
      <c r="F545" s="16"/>
      <c r="G545" s="16"/>
      <c r="H545" s="16"/>
    </row>
    <row r="546" spans="6:8" s="9" customFormat="1">
      <c r="F546" s="16"/>
      <c r="G546" s="16"/>
      <c r="H546" s="16"/>
    </row>
    <row r="547" spans="6:8" s="9" customFormat="1">
      <c r="F547" s="16"/>
      <c r="G547" s="16"/>
      <c r="H547" s="16"/>
    </row>
    <row r="548" spans="6:8" s="9" customFormat="1">
      <c r="F548" s="16"/>
      <c r="G548" s="16"/>
      <c r="H548" s="16"/>
    </row>
    <row r="549" spans="6:8" s="9" customFormat="1">
      <c r="F549" s="16"/>
      <c r="G549" s="16"/>
      <c r="H549" s="16"/>
    </row>
    <row r="550" spans="6:8" s="9" customFormat="1">
      <c r="F550" s="16"/>
      <c r="G550" s="16"/>
      <c r="H550" s="16"/>
    </row>
    <row r="551" spans="6:8" s="9" customFormat="1">
      <c r="F551" s="16"/>
      <c r="G551" s="16"/>
      <c r="H551" s="16"/>
    </row>
    <row r="552" spans="6:8" s="9" customFormat="1">
      <c r="F552" s="16"/>
      <c r="G552" s="16"/>
      <c r="H552" s="16"/>
    </row>
    <row r="553" spans="6:8" s="9" customFormat="1">
      <c r="F553" s="16"/>
      <c r="G553" s="16"/>
      <c r="H553" s="16"/>
    </row>
    <row r="554" spans="6:8" s="9" customFormat="1">
      <c r="F554" s="16"/>
      <c r="G554" s="16"/>
      <c r="H554" s="16"/>
    </row>
    <row r="555" spans="6:8" s="9" customFormat="1">
      <c r="F555" s="16"/>
      <c r="G555" s="16"/>
      <c r="H555" s="16"/>
    </row>
    <row r="556" spans="6:8" s="9" customFormat="1">
      <c r="F556" s="16"/>
      <c r="G556" s="16"/>
      <c r="H556" s="16"/>
    </row>
    <row r="557" spans="6:8" s="9" customFormat="1">
      <c r="F557" s="16"/>
      <c r="G557" s="16"/>
      <c r="H557" s="16"/>
    </row>
    <row r="558" spans="6:8" s="9" customFormat="1">
      <c r="F558" s="16"/>
      <c r="G558" s="16"/>
      <c r="H558" s="16"/>
    </row>
    <row r="559" spans="6:8" s="9" customFormat="1">
      <c r="F559" s="16"/>
      <c r="G559" s="16"/>
      <c r="H559" s="16"/>
    </row>
    <row r="560" spans="6:8" s="9" customFormat="1">
      <c r="F560" s="16"/>
      <c r="G560" s="16"/>
      <c r="H560" s="16"/>
    </row>
    <row r="561" spans="6:8" s="9" customFormat="1">
      <c r="F561" s="16"/>
      <c r="G561" s="16"/>
      <c r="H561" s="16"/>
    </row>
    <row r="562" spans="6:8" s="9" customFormat="1">
      <c r="F562" s="16"/>
      <c r="G562" s="16"/>
      <c r="H562" s="16"/>
    </row>
    <row r="563" spans="6:8" s="9" customFormat="1">
      <c r="F563" s="16"/>
      <c r="G563" s="16"/>
      <c r="H563" s="16"/>
    </row>
    <row r="564" spans="6:8" s="9" customFormat="1">
      <c r="F564" s="16"/>
      <c r="G564" s="16"/>
      <c r="H564" s="16"/>
    </row>
    <row r="565" spans="6:8" s="9" customFormat="1">
      <c r="F565" s="16"/>
      <c r="G565" s="16"/>
      <c r="H565" s="16"/>
    </row>
    <row r="566" spans="6:8" s="9" customFormat="1">
      <c r="F566" s="16"/>
      <c r="G566" s="16"/>
      <c r="H566" s="16"/>
    </row>
    <row r="567" spans="6:8" s="9" customFormat="1">
      <c r="F567" s="16"/>
      <c r="G567" s="16"/>
      <c r="H567" s="16"/>
    </row>
    <row r="568" spans="6:8" s="9" customFormat="1">
      <c r="F568" s="16"/>
      <c r="G568" s="16"/>
      <c r="H568" s="16"/>
    </row>
    <row r="569" spans="6:8" s="9" customFormat="1">
      <c r="F569" s="16"/>
      <c r="G569" s="16"/>
      <c r="H569" s="16"/>
    </row>
    <row r="570" spans="6:8" s="9" customFormat="1">
      <c r="F570" s="16"/>
      <c r="G570" s="16"/>
      <c r="H570" s="16"/>
    </row>
    <row r="571" spans="6:8" s="9" customFormat="1">
      <c r="F571" s="16"/>
      <c r="G571" s="16"/>
      <c r="H571" s="16"/>
    </row>
    <row r="572" spans="6:8" s="9" customFormat="1">
      <c r="F572" s="16"/>
      <c r="G572" s="16"/>
      <c r="H572" s="16"/>
    </row>
    <row r="573" spans="6:8" s="9" customFormat="1">
      <c r="F573" s="16"/>
      <c r="G573" s="16"/>
      <c r="H573" s="16"/>
    </row>
    <row r="574" spans="6:8" s="9" customFormat="1">
      <c r="F574" s="16"/>
      <c r="G574" s="16"/>
      <c r="H574" s="16"/>
    </row>
    <row r="575" spans="6:8" s="9" customFormat="1">
      <c r="F575" s="16"/>
      <c r="G575" s="16"/>
      <c r="H575" s="16"/>
    </row>
    <row r="576" spans="6:8" s="9" customFormat="1">
      <c r="F576" s="16"/>
      <c r="G576" s="16"/>
      <c r="H576" s="16"/>
    </row>
    <row r="577" spans="6:8" s="9" customFormat="1">
      <c r="F577" s="16"/>
      <c r="G577" s="16"/>
      <c r="H577" s="16"/>
    </row>
    <row r="578" spans="6:8" s="9" customFormat="1">
      <c r="F578" s="16"/>
      <c r="G578" s="16"/>
      <c r="H578" s="16"/>
    </row>
    <row r="579" spans="6:8" s="9" customFormat="1">
      <c r="F579" s="16"/>
      <c r="G579" s="16"/>
      <c r="H579" s="16"/>
    </row>
    <row r="580" spans="6:8" s="9" customFormat="1">
      <c r="F580" s="16"/>
      <c r="G580" s="16"/>
      <c r="H580" s="16"/>
    </row>
    <row r="581" spans="6:8" s="9" customFormat="1">
      <c r="F581" s="16"/>
      <c r="G581" s="16"/>
      <c r="H581" s="16"/>
    </row>
    <row r="582" spans="6:8" s="9" customFormat="1">
      <c r="F582" s="16"/>
      <c r="G582" s="16"/>
      <c r="H582" s="16"/>
    </row>
    <row r="583" spans="6:8" s="9" customFormat="1">
      <c r="F583" s="16"/>
      <c r="G583" s="16"/>
      <c r="H583" s="16"/>
    </row>
    <row r="584" spans="6:8" s="9" customFormat="1">
      <c r="F584" s="16"/>
      <c r="G584" s="16"/>
      <c r="H584" s="16"/>
    </row>
    <row r="585" spans="6:8" s="9" customFormat="1">
      <c r="F585" s="16"/>
      <c r="G585" s="16"/>
      <c r="H585" s="16"/>
    </row>
    <row r="586" spans="6:8" s="9" customFormat="1">
      <c r="F586" s="16"/>
      <c r="G586" s="16"/>
      <c r="H586" s="16"/>
    </row>
    <row r="587" spans="6:8" s="9" customFormat="1">
      <c r="F587" s="16"/>
      <c r="G587" s="16"/>
      <c r="H587" s="16"/>
    </row>
    <row r="588" spans="6:8" s="9" customFormat="1">
      <c r="F588" s="16"/>
      <c r="G588" s="16"/>
      <c r="H588" s="16"/>
    </row>
    <row r="589" spans="6:8" s="9" customFormat="1">
      <c r="F589" s="16"/>
      <c r="G589" s="16"/>
      <c r="H589" s="16"/>
    </row>
    <row r="590" spans="6:8" s="9" customFormat="1">
      <c r="F590" s="16"/>
      <c r="G590" s="16"/>
      <c r="H590" s="16"/>
    </row>
    <row r="591" spans="6:8" s="9" customFormat="1">
      <c r="F591" s="16"/>
      <c r="G591" s="16"/>
      <c r="H591" s="16"/>
    </row>
    <row r="592" spans="6:8" s="9" customFormat="1">
      <c r="F592" s="16"/>
      <c r="G592" s="16"/>
      <c r="H592" s="16"/>
    </row>
    <row r="593" spans="6:8" s="9" customFormat="1">
      <c r="F593" s="16"/>
      <c r="G593" s="16"/>
      <c r="H593" s="16"/>
    </row>
    <row r="594" spans="6:8" s="9" customFormat="1">
      <c r="F594" s="16"/>
      <c r="G594" s="16"/>
      <c r="H594" s="16"/>
    </row>
    <row r="595" spans="6:8" s="9" customFormat="1">
      <c r="F595" s="16"/>
      <c r="G595" s="16"/>
      <c r="H595" s="16"/>
    </row>
    <row r="596" spans="6:8" s="9" customFormat="1">
      <c r="F596" s="16"/>
      <c r="G596" s="16"/>
      <c r="H596" s="16"/>
    </row>
    <row r="597" spans="6:8" s="9" customFormat="1">
      <c r="F597" s="16"/>
      <c r="G597" s="16"/>
      <c r="H597" s="16"/>
    </row>
    <row r="598" spans="6:8" s="9" customFormat="1">
      <c r="F598" s="16"/>
      <c r="G598" s="16"/>
      <c r="H598" s="16"/>
    </row>
    <row r="599" spans="6:8" s="9" customFormat="1">
      <c r="F599" s="16"/>
      <c r="G599" s="16"/>
      <c r="H599" s="16"/>
    </row>
    <row r="600" spans="6:8" s="9" customFormat="1">
      <c r="F600" s="16"/>
      <c r="G600" s="16"/>
      <c r="H600" s="16"/>
    </row>
    <row r="601" spans="6:8" s="9" customFormat="1">
      <c r="F601" s="16"/>
      <c r="G601" s="16"/>
      <c r="H601" s="16"/>
    </row>
    <row r="602" spans="6:8" s="9" customFormat="1">
      <c r="F602" s="16"/>
      <c r="G602" s="16"/>
      <c r="H602" s="16"/>
    </row>
    <row r="603" spans="6:8" s="9" customFormat="1">
      <c r="F603" s="16"/>
      <c r="G603" s="16"/>
      <c r="H603" s="16"/>
    </row>
    <row r="604" spans="6:8" s="9" customFormat="1">
      <c r="F604" s="16"/>
      <c r="G604" s="16"/>
      <c r="H604" s="16"/>
    </row>
    <row r="605" spans="6:8" s="9" customFormat="1">
      <c r="F605" s="16"/>
      <c r="G605" s="16"/>
      <c r="H605" s="16"/>
    </row>
    <row r="606" spans="6:8" s="9" customFormat="1">
      <c r="F606" s="16"/>
      <c r="G606" s="16"/>
      <c r="H606" s="16"/>
    </row>
    <row r="607" spans="6:8" s="9" customFormat="1">
      <c r="F607" s="16"/>
      <c r="G607" s="16"/>
      <c r="H607" s="16"/>
    </row>
    <row r="608" spans="6:8" s="9" customFormat="1">
      <c r="F608" s="16"/>
      <c r="G608" s="16"/>
      <c r="H608" s="16"/>
    </row>
    <row r="609" spans="6:8" s="9" customFormat="1">
      <c r="F609" s="16"/>
      <c r="G609" s="16"/>
      <c r="H609" s="16"/>
    </row>
    <row r="610" spans="6:8" s="9" customFormat="1">
      <c r="F610" s="16"/>
      <c r="G610" s="16"/>
      <c r="H610" s="16"/>
    </row>
    <row r="611" spans="6:8" s="9" customFormat="1">
      <c r="F611" s="16"/>
      <c r="G611" s="16"/>
      <c r="H611" s="16"/>
    </row>
    <row r="612" spans="6:8" s="9" customFormat="1">
      <c r="F612" s="16"/>
      <c r="G612" s="16"/>
      <c r="H612" s="16"/>
    </row>
    <row r="613" spans="6:8" s="9" customFormat="1">
      <c r="F613" s="16"/>
      <c r="G613" s="16"/>
      <c r="H613" s="16"/>
    </row>
    <row r="614" spans="6:8" s="9" customFormat="1">
      <c r="F614" s="16"/>
      <c r="G614" s="16"/>
      <c r="H614" s="16"/>
    </row>
    <row r="615" spans="6:8" s="9" customFormat="1">
      <c r="F615" s="16"/>
      <c r="G615" s="16"/>
      <c r="H615" s="16"/>
    </row>
    <row r="616" spans="6:8" s="9" customFormat="1">
      <c r="F616" s="16"/>
      <c r="G616" s="16"/>
      <c r="H616" s="16"/>
    </row>
    <row r="617" spans="6:8" s="9" customFormat="1">
      <c r="F617" s="16"/>
      <c r="G617" s="16"/>
      <c r="H617" s="16"/>
    </row>
    <row r="618" spans="6:8" s="9" customFormat="1">
      <c r="F618" s="16"/>
      <c r="G618" s="16"/>
      <c r="H618" s="16"/>
    </row>
    <row r="619" spans="6:8" s="9" customFormat="1">
      <c r="F619" s="16"/>
      <c r="G619" s="16"/>
      <c r="H619" s="16"/>
    </row>
    <row r="620" spans="6:8" s="9" customFormat="1">
      <c r="F620" s="16"/>
      <c r="G620" s="16"/>
      <c r="H620" s="16"/>
    </row>
    <row r="621" spans="6:8" s="9" customFormat="1">
      <c r="F621" s="16"/>
      <c r="G621" s="16"/>
      <c r="H621" s="16"/>
    </row>
    <row r="622" spans="6:8" s="9" customFormat="1">
      <c r="F622" s="16"/>
      <c r="G622" s="16"/>
      <c r="H622" s="16"/>
    </row>
    <row r="623" spans="6:8" s="9" customFormat="1">
      <c r="F623" s="16"/>
      <c r="G623" s="16"/>
      <c r="H623" s="16"/>
    </row>
    <row r="624" spans="6:8" s="9" customFormat="1">
      <c r="F624" s="16"/>
      <c r="G624" s="16"/>
      <c r="H624" s="16"/>
    </row>
    <row r="625" spans="6:8" s="9" customFormat="1">
      <c r="F625" s="16"/>
      <c r="G625" s="16"/>
      <c r="H625" s="16"/>
    </row>
    <row r="626" spans="6:8" s="9" customFormat="1">
      <c r="F626" s="16"/>
      <c r="G626" s="16"/>
      <c r="H626" s="16"/>
    </row>
    <row r="627" spans="6:8" s="9" customFormat="1">
      <c r="F627" s="16"/>
      <c r="G627" s="16"/>
      <c r="H627" s="16"/>
    </row>
    <row r="628" spans="6:8" s="9" customFormat="1">
      <c r="F628" s="16"/>
      <c r="G628" s="16"/>
      <c r="H628" s="16"/>
    </row>
    <row r="629" spans="6:8" s="9" customFormat="1">
      <c r="F629" s="16"/>
      <c r="G629" s="16"/>
      <c r="H629" s="16"/>
    </row>
    <row r="630" spans="6:8" s="9" customFormat="1">
      <c r="F630" s="16"/>
      <c r="G630" s="16"/>
      <c r="H630" s="16"/>
    </row>
    <row r="631" spans="6:8" s="9" customFormat="1">
      <c r="F631" s="16"/>
      <c r="G631" s="16"/>
      <c r="H631" s="16"/>
    </row>
    <row r="632" spans="6:8" s="9" customFormat="1">
      <c r="F632" s="16"/>
      <c r="G632" s="16"/>
      <c r="H632" s="16"/>
    </row>
    <row r="633" spans="6:8" s="9" customFormat="1">
      <c r="F633" s="16"/>
      <c r="G633" s="16"/>
      <c r="H633" s="16"/>
    </row>
    <row r="634" spans="6:8" s="9" customFormat="1">
      <c r="F634" s="16"/>
      <c r="G634" s="16"/>
      <c r="H634" s="16"/>
    </row>
    <row r="635" spans="6:8" s="9" customFormat="1">
      <c r="F635" s="16"/>
      <c r="G635" s="16"/>
      <c r="H635" s="16"/>
    </row>
    <row r="636" spans="6:8" s="9" customFormat="1">
      <c r="F636" s="16"/>
      <c r="G636" s="16"/>
      <c r="H636" s="16"/>
    </row>
    <row r="637" spans="6:8" s="9" customFormat="1">
      <c r="F637" s="16"/>
      <c r="G637" s="16"/>
      <c r="H637" s="16"/>
    </row>
    <row r="638" spans="6:8" s="9" customFormat="1">
      <c r="F638" s="16"/>
      <c r="G638" s="16"/>
      <c r="H638" s="16"/>
    </row>
    <row r="639" spans="6:8" s="9" customFormat="1">
      <c r="F639" s="16"/>
      <c r="G639" s="16"/>
      <c r="H639" s="16"/>
    </row>
    <row r="640" spans="6:8" s="9" customFormat="1">
      <c r="F640" s="16"/>
      <c r="G640" s="16"/>
      <c r="H640" s="16"/>
    </row>
    <row r="641" spans="6:8" s="9" customFormat="1">
      <c r="F641" s="16"/>
      <c r="G641" s="16"/>
      <c r="H641" s="16"/>
    </row>
    <row r="642" spans="6:8" s="9" customFormat="1">
      <c r="F642" s="16"/>
      <c r="G642" s="16"/>
      <c r="H642" s="16"/>
    </row>
    <row r="643" spans="6:8" s="9" customFormat="1">
      <c r="F643" s="16"/>
      <c r="G643" s="16"/>
      <c r="H643" s="16"/>
    </row>
    <row r="644" spans="6:8" s="9" customFormat="1">
      <c r="F644" s="16"/>
      <c r="G644" s="16"/>
      <c r="H644" s="16"/>
    </row>
    <row r="645" spans="6:8" s="9" customFormat="1">
      <c r="F645" s="16"/>
      <c r="G645" s="16"/>
      <c r="H645" s="16"/>
    </row>
    <row r="646" spans="6:8" s="9" customFormat="1">
      <c r="F646" s="16"/>
      <c r="G646" s="16"/>
      <c r="H646" s="16"/>
    </row>
    <row r="647" spans="6:8" s="9" customFormat="1">
      <c r="F647" s="16"/>
      <c r="G647" s="16"/>
      <c r="H647" s="16"/>
    </row>
    <row r="648" spans="6:8" s="9" customFormat="1">
      <c r="F648" s="16"/>
      <c r="G648" s="16"/>
      <c r="H648" s="16"/>
    </row>
    <row r="649" spans="6:8" s="9" customFormat="1">
      <c r="F649" s="16"/>
      <c r="G649" s="16"/>
      <c r="H649" s="16"/>
    </row>
    <row r="650" spans="6:8" s="9" customFormat="1">
      <c r="F650" s="16"/>
      <c r="G650" s="16"/>
      <c r="H650" s="16"/>
    </row>
    <row r="651" spans="6:8" s="9" customFormat="1">
      <c r="F651" s="16"/>
      <c r="G651" s="16"/>
      <c r="H651" s="16"/>
    </row>
    <row r="652" spans="6:8" s="9" customFormat="1">
      <c r="F652" s="16"/>
      <c r="G652" s="16"/>
      <c r="H652" s="16"/>
    </row>
    <row r="653" spans="6:8" s="9" customFormat="1">
      <c r="F653" s="16"/>
      <c r="G653" s="16"/>
      <c r="H653" s="16"/>
    </row>
    <row r="654" spans="6:8" s="9" customFormat="1">
      <c r="F654" s="16"/>
      <c r="G654" s="16"/>
      <c r="H654" s="16"/>
    </row>
    <row r="655" spans="6:8" s="9" customFormat="1">
      <c r="F655" s="16"/>
      <c r="G655" s="16"/>
      <c r="H655" s="16"/>
    </row>
    <row r="656" spans="6:8" s="9" customFormat="1">
      <c r="F656" s="16"/>
      <c r="G656" s="16"/>
      <c r="H656" s="16"/>
    </row>
    <row r="657" spans="6:8" s="9" customFormat="1">
      <c r="F657" s="16"/>
      <c r="G657" s="16"/>
      <c r="H657" s="16"/>
    </row>
    <row r="658" spans="6:8" s="9" customFormat="1">
      <c r="F658" s="16"/>
      <c r="G658" s="16"/>
      <c r="H658" s="16"/>
    </row>
    <row r="659" spans="6:8" s="9" customFormat="1">
      <c r="F659" s="16"/>
      <c r="G659" s="16"/>
      <c r="H659" s="16"/>
    </row>
    <row r="660" spans="6:8" s="9" customFormat="1">
      <c r="F660" s="16"/>
      <c r="G660" s="16"/>
      <c r="H660" s="16"/>
    </row>
    <row r="661" spans="6:8" s="9" customFormat="1">
      <c r="F661" s="16"/>
      <c r="G661" s="16"/>
      <c r="H661" s="16"/>
    </row>
    <row r="662" spans="6:8" s="9" customFormat="1">
      <c r="F662" s="16"/>
      <c r="G662" s="16"/>
      <c r="H662" s="16"/>
    </row>
    <row r="663" spans="6:8" s="9" customFormat="1">
      <c r="F663" s="16"/>
      <c r="G663" s="16"/>
      <c r="H663" s="16"/>
    </row>
    <row r="664" spans="6:8" s="9" customFormat="1">
      <c r="F664" s="16"/>
      <c r="G664" s="16"/>
      <c r="H664" s="16"/>
    </row>
    <row r="665" spans="6:8" s="9" customFormat="1">
      <c r="F665" s="16"/>
      <c r="G665" s="16"/>
      <c r="H665" s="16"/>
    </row>
    <row r="666" spans="6:8" s="9" customFormat="1">
      <c r="F666" s="16"/>
      <c r="G666" s="16"/>
      <c r="H666" s="16"/>
    </row>
    <row r="667" spans="6:8" s="9" customFormat="1">
      <c r="F667" s="16"/>
      <c r="G667" s="16"/>
      <c r="H667" s="16"/>
    </row>
    <row r="668" spans="6:8" s="9" customFormat="1">
      <c r="F668" s="16"/>
      <c r="G668" s="16"/>
      <c r="H668" s="16"/>
    </row>
    <row r="669" spans="6:8" s="9" customFormat="1">
      <c r="F669" s="16"/>
      <c r="G669" s="16"/>
      <c r="H669" s="16"/>
    </row>
    <row r="670" spans="6:8" s="9" customFormat="1">
      <c r="F670" s="16"/>
      <c r="G670" s="16"/>
      <c r="H670" s="16"/>
    </row>
    <row r="671" spans="6:8" s="9" customFormat="1">
      <c r="F671" s="16"/>
      <c r="G671" s="16"/>
      <c r="H671" s="16"/>
    </row>
    <row r="672" spans="6:8" s="9" customFormat="1">
      <c r="F672" s="16"/>
      <c r="G672" s="16"/>
      <c r="H672" s="16"/>
    </row>
    <row r="673" spans="6:8" s="9" customFormat="1">
      <c r="F673" s="16"/>
      <c r="G673" s="16"/>
      <c r="H673" s="16"/>
    </row>
    <row r="674" spans="6:8" s="9" customFormat="1">
      <c r="F674" s="16"/>
      <c r="G674" s="16"/>
      <c r="H674" s="16"/>
    </row>
    <row r="675" spans="6:8" s="9" customFormat="1">
      <c r="F675" s="16"/>
      <c r="G675" s="16"/>
      <c r="H675" s="16"/>
    </row>
    <row r="676" spans="6:8" s="9" customFormat="1">
      <c r="F676" s="16"/>
      <c r="G676" s="16"/>
      <c r="H676" s="16"/>
    </row>
    <row r="677" spans="6:8" s="9" customFormat="1">
      <c r="F677" s="16"/>
      <c r="G677" s="16"/>
      <c r="H677" s="16"/>
    </row>
    <row r="678" spans="6:8" s="9" customFormat="1">
      <c r="F678" s="16"/>
      <c r="G678" s="16"/>
      <c r="H678" s="16"/>
    </row>
    <row r="679" spans="6:8" s="9" customFormat="1">
      <c r="F679" s="16"/>
      <c r="G679" s="16"/>
      <c r="H679" s="16"/>
    </row>
    <row r="680" spans="6:8" s="9" customFormat="1">
      <c r="F680" s="16"/>
      <c r="G680" s="16"/>
      <c r="H680" s="16"/>
    </row>
    <row r="681" spans="6:8" s="9" customFormat="1">
      <c r="F681" s="16"/>
      <c r="G681" s="16"/>
      <c r="H681" s="16"/>
    </row>
    <row r="682" spans="6:8" s="9" customFormat="1">
      <c r="F682" s="16"/>
      <c r="G682" s="16"/>
      <c r="H682" s="16"/>
    </row>
    <row r="683" spans="6:8" s="9" customFormat="1">
      <c r="F683" s="16"/>
      <c r="G683" s="16"/>
      <c r="H683" s="16"/>
    </row>
    <row r="684" spans="6:8" s="9" customFormat="1">
      <c r="F684" s="16"/>
      <c r="G684" s="16"/>
      <c r="H684" s="16"/>
    </row>
    <row r="685" spans="6:8" s="9" customFormat="1">
      <c r="F685" s="16"/>
      <c r="G685" s="16"/>
      <c r="H685" s="16"/>
    </row>
    <row r="686" spans="6:8" s="9" customFormat="1">
      <c r="F686" s="16"/>
      <c r="G686" s="16"/>
      <c r="H686" s="16"/>
    </row>
    <row r="687" spans="6:8" s="9" customFormat="1">
      <c r="F687" s="16"/>
      <c r="G687" s="16"/>
      <c r="H687" s="16"/>
    </row>
    <row r="688" spans="6:8" s="9" customFormat="1">
      <c r="F688" s="16"/>
      <c r="G688" s="16"/>
      <c r="H688" s="16"/>
    </row>
    <row r="689" spans="6:8" s="9" customFormat="1">
      <c r="F689" s="16"/>
      <c r="G689" s="16"/>
      <c r="H689" s="16"/>
    </row>
    <row r="690" spans="6:8" s="9" customFormat="1">
      <c r="F690" s="16"/>
      <c r="G690" s="16"/>
      <c r="H690" s="16"/>
    </row>
    <row r="691" spans="6:8" s="9" customFormat="1">
      <c r="F691" s="16"/>
      <c r="G691" s="16"/>
      <c r="H691" s="16"/>
    </row>
    <row r="692" spans="6:8" s="9" customFormat="1">
      <c r="F692" s="16"/>
      <c r="G692" s="16"/>
      <c r="H692" s="16"/>
    </row>
    <row r="693" spans="6:8" s="9" customFormat="1">
      <c r="F693" s="16"/>
      <c r="G693" s="16"/>
      <c r="H693" s="16"/>
    </row>
    <row r="694" spans="6:8" s="9" customFormat="1">
      <c r="F694" s="16"/>
      <c r="G694" s="16"/>
      <c r="H694" s="16"/>
    </row>
    <row r="695" spans="6:8" s="9" customFormat="1">
      <c r="F695" s="16"/>
      <c r="G695" s="16"/>
      <c r="H695" s="16"/>
    </row>
    <row r="696" spans="6:8" s="9" customFormat="1">
      <c r="F696" s="16"/>
      <c r="G696" s="16"/>
      <c r="H696" s="16"/>
    </row>
    <row r="697" spans="6:8" s="9" customFormat="1">
      <c r="F697" s="16"/>
      <c r="G697" s="16"/>
      <c r="H697" s="16"/>
    </row>
    <row r="698" spans="6:8" s="9" customFormat="1">
      <c r="F698" s="16"/>
      <c r="G698" s="16"/>
      <c r="H698" s="16"/>
    </row>
    <row r="699" spans="6:8" s="9" customFormat="1">
      <c r="F699" s="16"/>
      <c r="G699" s="16"/>
      <c r="H699" s="16"/>
    </row>
    <row r="700" spans="6:8" s="9" customFormat="1">
      <c r="F700" s="16"/>
      <c r="G700" s="16"/>
      <c r="H700" s="16"/>
    </row>
    <row r="701" spans="6:8" s="9" customFormat="1">
      <c r="F701" s="16"/>
      <c r="G701" s="16"/>
      <c r="H701" s="16"/>
    </row>
    <row r="702" spans="6:8" s="9" customFormat="1">
      <c r="F702" s="16"/>
      <c r="G702" s="16"/>
      <c r="H702" s="16"/>
    </row>
    <row r="703" spans="6:8" s="9" customFormat="1">
      <c r="F703" s="16"/>
      <c r="G703" s="16"/>
      <c r="H703" s="16"/>
    </row>
    <row r="704" spans="6:8" s="9" customFormat="1">
      <c r="F704" s="16"/>
      <c r="G704" s="16"/>
      <c r="H704" s="16"/>
    </row>
    <row r="705" spans="6:8" s="9" customFormat="1">
      <c r="F705" s="16"/>
      <c r="G705" s="16"/>
      <c r="H705" s="16"/>
    </row>
    <row r="706" spans="6:8" s="9" customFormat="1">
      <c r="F706" s="16"/>
      <c r="G706" s="16"/>
      <c r="H706" s="16"/>
    </row>
    <row r="707" spans="6:8" s="9" customFormat="1">
      <c r="F707" s="16"/>
      <c r="G707" s="16"/>
      <c r="H707" s="16"/>
    </row>
    <row r="708" spans="6:8" s="9" customFormat="1">
      <c r="F708" s="16"/>
      <c r="G708" s="16"/>
      <c r="H708" s="16"/>
    </row>
    <row r="709" spans="6:8" s="9" customFormat="1">
      <c r="F709" s="16"/>
      <c r="G709" s="16"/>
      <c r="H709" s="16"/>
    </row>
    <row r="710" spans="6:8" s="9" customFormat="1">
      <c r="F710" s="16"/>
      <c r="G710" s="16"/>
      <c r="H710" s="16"/>
    </row>
    <row r="711" spans="6:8" s="9" customFormat="1">
      <c r="F711" s="16"/>
      <c r="G711" s="16"/>
      <c r="H711" s="16"/>
    </row>
    <row r="712" spans="6:8" s="9" customFormat="1">
      <c r="F712" s="16"/>
      <c r="G712" s="16"/>
      <c r="H712" s="16"/>
    </row>
    <row r="713" spans="6:8" s="9" customFormat="1">
      <c r="F713" s="16"/>
      <c r="G713" s="16"/>
      <c r="H713" s="16"/>
    </row>
    <row r="714" spans="6:8" s="9" customFormat="1">
      <c r="F714" s="16"/>
      <c r="G714" s="16"/>
      <c r="H714" s="16"/>
    </row>
    <row r="715" spans="6:8" s="9" customFormat="1">
      <c r="F715" s="16"/>
      <c r="G715" s="16"/>
      <c r="H715" s="16"/>
    </row>
    <row r="716" spans="6:8" s="9" customFormat="1">
      <c r="F716" s="16"/>
      <c r="G716" s="16"/>
      <c r="H716" s="16"/>
    </row>
    <row r="717" spans="6:8" s="9" customFormat="1">
      <c r="F717" s="16"/>
      <c r="G717" s="16"/>
      <c r="H717" s="16"/>
    </row>
    <row r="718" spans="6:8" s="9" customFormat="1">
      <c r="F718" s="16"/>
      <c r="G718" s="16"/>
      <c r="H718" s="16"/>
    </row>
    <row r="719" spans="6:8" s="9" customFormat="1">
      <c r="F719" s="16"/>
      <c r="G719" s="16"/>
      <c r="H719" s="16"/>
    </row>
    <row r="720" spans="6:8" s="9" customFormat="1">
      <c r="F720" s="16"/>
      <c r="G720" s="16"/>
      <c r="H720" s="16"/>
    </row>
    <row r="721" spans="6:8" s="9" customFormat="1">
      <c r="F721" s="16"/>
      <c r="G721" s="16"/>
      <c r="H721" s="16"/>
    </row>
    <row r="722" spans="6:8" s="9" customFormat="1">
      <c r="F722" s="16"/>
      <c r="G722" s="16"/>
      <c r="H722" s="16"/>
    </row>
    <row r="723" spans="6:8" s="9" customFormat="1">
      <c r="F723" s="16"/>
      <c r="G723" s="16"/>
      <c r="H723" s="16"/>
    </row>
    <row r="724" spans="6:8" s="9" customFormat="1">
      <c r="F724" s="16"/>
      <c r="G724" s="16"/>
      <c r="H724" s="16"/>
    </row>
    <row r="725" spans="6:8" s="9" customFormat="1">
      <c r="F725" s="16"/>
      <c r="G725" s="16"/>
      <c r="H725" s="16"/>
    </row>
    <row r="726" spans="6:8" s="9" customFormat="1">
      <c r="F726" s="16"/>
      <c r="G726" s="16"/>
      <c r="H726" s="16"/>
    </row>
    <row r="727" spans="6:8" s="9" customFormat="1">
      <c r="F727" s="16"/>
      <c r="G727" s="16"/>
      <c r="H727" s="16"/>
    </row>
    <row r="728" spans="6:8" s="9" customFormat="1">
      <c r="F728" s="16"/>
      <c r="G728" s="16"/>
      <c r="H728" s="16"/>
    </row>
    <row r="729" spans="6:8" s="9" customFormat="1">
      <c r="F729" s="16"/>
      <c r="G729" s="16"/>
      <c r="H729" s="16"/>
    </row>
    <row r="730" spans="6:8" s="9" customFormat="1">
      <c r="F730" s="16"/>
      <c r="G730" s="16"/>
      <c r="H730" s="16"/>
    </row>
    <row r="731" spans="6:8" s="9" customFormat="1">
      <c r="F731" s="16"/>
      <c r="G731" s="16"/>
      <c r="H731" s="16"/>
    </row>
    <row r="732" spans="6:8" s="9" customFormat="1">
      <c r="F732" s="16"/>
      <c r="G732" s="16"/>
      <c r="H732" s="16"/>
    </row>
    <row r="733" spans="6:8" s="9" customFormat="1">
      <c r="F733" s="16"/>
      <c r="G733" s="16"/>
      <c r="H733" s="16"/>
    </row>
    <row r="734" spans="6:8" s="9" customFormat="1">
      <c r="F734" s="16"/>
      <c r="G734" s="16"/>
      <c r="H734" s="16"/>
    </row>
    <row r="735" spans="6:8" s="9" customFormat="1">
      <c r="F735" s="16"/>
      <c r="G735" s="16"/>
      <c r="H735" s="16"/>
    </row>
    <row r="736" spans="6:8" s="9" customFormat="1">
      <c r="F736" s="16"/>
      <c r="G736" s="16"/>
      <c r="H736" s="16"/>
    </row>
    <row r="737" spans="6:8" s="9" customFormat="1">
      <c r="F737" s="16"/>
      <c r="G737" s="16"/>
      <c r="H737" s="16"/>
    </row>
    <row r="738" spans="6:8" s="9" customFormat="1">
      <c r="F738" s="16"/>
      <c r="G738" s="16"/>
      <c r="H738" s="16"/>
    </row>
    <row r="739" spans="6:8" s="9" customFormat="1">
      <c r="F739" s="16"/>
      <c r="G739" s="16"/>
      <c r="H739" s="16"/>
    </row>
    <row r="740" spans="6:8" s="9" customFormat="1">
      <c r="F740" s="16"/>
      <c r="G740" s="16"/>
      <c r="H740" s="16"/>
    </row>
    <row r="741" spans="6:8" s="9" customFormat="1">
      <c r="F741" s="16"/>
      <c r="G741" s="16"/>
      <c r="H741" s="16"/>
    </row>
    <row r="742" spans="6:8" s="9" customFormat="1">
      <c r="F742" s="16"/>
      <c r="G742" s="16"/>
      <c r="H742" s="16"/>
    </row>
    <row r="743" spans="6:8" s="9" customFormat="1">
      <c r="F743" s="16"/>
      <c r="G743" s="16"/>
      <c r="H743" s="16"/>
    </row>
    <row r="744" spans="6:8" s="9" customFormat="1">
      <c r="F744" s="16"/>
      <c r="G744" s="16"/>
      <c r="H744" s="16"/>
    </row>
    <row r="745" spans="6:8" s="9" customFormat="1">
      <c r="F745" s="16"/>
      <c r="G745" s="16"/>
      <c r="H745" s="16"/>
    </row>
    <row r="746" spans="6:8" s="9" customFormat="1">
      <c r="F746" s="16"/>
      <c r="G746" s="16"/>
      <c r="H746" s="16"/>
    </row>
    <row r="747" spans="6:8" s="9" customFormat="1">
      <c r="F747" s="16"/>
      <c r="G747" s="16"/>
      <c r="H747" s="16"/>
    </row>
    <row r="748" spans="6:8" s="9" customFormat="1">
      <c r="F748" s="16"/>
      <c r="G748" s="16"/>
      <c r="H748" s="16"/>
    </row>
    <row r="749" spans="6:8" s="9" customFormat="1">
      <c r="F749" s="16"/>
      <c r="G749" s="16"/>
      <c r="H749" s="16"/>
    </row>
    <row r="750" spans="6:8" s="9" customFormat="1">
      <c r="F750" s="16"/>
      <c r="G750" s="16"/>
      <c r="H750" s="16"/>
    </row>
    <row r="751" spans="6:8" s="9" customFormat="1">
      <c r="F751" s="16"/>
      <c r="G751" s="16"/>
      <c r="H751" s="16"/>
    </row>
    <row r="752" spans="6:8" s="9" customFormat="1">
      <c r="F752" s="16"/>
      <c r="G752" s="16"/>
      <c r="H752" s="16"/>
    </row>
    <row r="753" spans="6:8" s="9" customFormat="1">
      <c r="F753" s="16"/>
      <c r="G753" s="16"/>
      <c r="H753" s="16"/>
    </row>
    <row r="754" spans="6:8" s="9" customFormat="1">
      <c r="F754" s="16"/>
      <c r="G754" s="16"/>
      <c r="H754" s="16"/>
    </row>
    <row r="755" spans="6:8" s="9" customFormat="1">
      <c r="F755" s="16"/>
      <c r="G755" s="16"/>
      <c r="H755" s="16"/>
    </row>
    <row r="756" spans="6:8" s="9" customFormat="1">
      <c r="F756" s="16"/>
      <c r="G756" s="16"/>
      <c r="H756" s="16"/>
    </row>
    <row r="757" spans="6:8" s="9" customFormat="1">
      <c r="F757" s="16"/>
      <c r="G757" s="16"/>
      <c r="H757" s="16"/>
    </row>
    <row r="758" spans="6:8" s="9" customFormat="1">
      <c r="F758" s="16"/>
      <c r="G758" s="16"/>
      <c r="H758" s="16"/>
    </row>
    <row r="759" spans="6:8" s="9" customFormat="1">
      <c r="F759" s="16"/>
      <c r="G759" s="16"/>
      <c r="H759" s="16"/>
    </row>
    <row r="760" spans="6:8" s="9" customFormat="1">
      <c r="F760" s="16"/>
      <c r="G760" s="16"/>
      <c r="H760" s="16"/>
    </row>
    <row r="761" spans="6:8" s="9" customFormat="1">
      <c r="F761" s="16"/>
      <c r="G761" s="16"/>
      <c r="H761" s="16"/>
    </row>
    <row r="762" spans="6:8" s="9" customFormat="1">
      <c r="F762" s="16"/>
      <c r="G762" s="16"/>
      <c r="H762" s="16"/>
    </row>
    <row r="763" spans="6:8" s="9" customFormat="1">
      <c r="F763" s="16"/>
      <c r="G763" s="16"/>
      <c r="H763" s="16"/>
    </row>
    <row r="764" spans="6:8" s="9" customFormat="1">
      <c r="F764" s="16"/>
      <c r="G764" s="16"/>
      <c r="H764" s="16"/>
    </row>
    <row r="765" spans="6:8" s="9" customFormat="1">
      <c r="F765" s="16"/>
      <c r="G765" s="16"/>
      <c r="H765" s="16"/>
    </row>
    <row r="766" spans="6:8" s="9" customFormat="1">
      <c r="F766" s="16"/>
      <c r="G766" s="16"/>
      <c r="H766" s="16"/>
    </row>
    <row r="767" spans="6:8" s="9" customFormat="1">
      <c r="F767" s="16"/>
      <c r="G767" s="16"/>
      <c r="H767" s="16"/>
    </row>
    <row r="768" spans="6:8" s="9" customFormat="1">
      <c r="F768" s="16"/>
      <c r="G768" s="16"/>
      <c r="H768" s="16"/>
    </row>
    <row r="769" spans="6:8" s="9" customFormat="1">
      <c r="F769" s="16"/>
      <c r="G769" s="16"/>
      <c r="H769" s="16"/>
    </row>
    <row r="770" spans="6:8" s="9" customFormat="1">
      <c r="F770" s="16"/>
      <c r="G770" s="16"/>
      <c r="H770" s="16"/>
    </row>
    <row r="771" spans="6:8" s="9" customFormat="1">
      <c r="F771" s="16"/>
      <c r="G771" s="16"/>
      <c r="H771" s="16"/>
    </row>
    <row r="772" spans="6:8" s="9" customFormat="1">
      <c r="F772" s="16"/>
      <c r="G772" s="16"/>
      <c r="H772" s="16"/>
    </row>
    <row r="773" spans="6:8" s="9" customFormat="1">
      <c r="F773" s="16"/>
      <c r="G773" s="16"/>
      <c r="H773" s="16"/>
    </row>
    <row r="774" spans="6:8" s="9" customFormat="1">
      <c r="F774" s="16"/>
      <c r="G774" s="16"/>
      <c r="H774" s="16"/>
    </row>
    <row r="775" spans="6:8" s="9" customFormat="1">
      <c r="F775" s="16"/>
      <c r="G775" s="16"/>
      <c r="H775" s="16"/>
    </row>
    <row r="776" spans="6:8" s="9" customFormat="1">
      <c r="F776" s="16"/>
      <c r="G776" s="16"/>
      <c r="H776" s="16"/>
    </row>
    <row r="777" spans="6:8" s="9" customFormat="1">
      <c r="F777" s="16"/>
      <c r="G777" s="16"/>
      <c r="H777" s="16"/>
    </row>
    <row r="778" spans="6:8" s="9" customFormat="1">
      <c r="F778" s="16"/>
      <c r="G778" s="16"/>
      <c r="H778" s="16"/>
    </row>
    <row r="779" spans="6:8" s="9" customFormat="1">
      <c r="F779" s="16"/>
      <c r="G779" s="16"/>
      <c r="H779" s="16"/>
    </row>
    <row r="780" spans="6:8" s="9" customFormat="1">
      <c r="F780" s="16"/>
      <c r="G780" s="16"/>
      <c r="H780" s="16"/>
    </row>
    <row r="781" spans="6:8" s="9" customFormat="1">
      <c r="F781" s="16"/>
      <c r="G781" s="16"/>
      <c r="H781" s="16"/>
    </row>
    <row r="782" spans="6:8" s="9" customFormat="1">
      <c r="F782" s="16"/>
      <c r="G782" s="16"/>
      <c r="H782" s="16"/>
    </row>
    <row r="783" spans="6:8" s="9" customFormat="1">
      <c r="F783" s="16"/>
      <c r="G783" s="16"/>
      <c r="H783" s="16"/>
    </row>
    <row r="784" spans="6:8" s="9" customFormat="1">
      <c r="F784" s="16"/>
      <c r="G784" s="16"/>
      <c r="H784" s="16"/>
    </row>
    <row r="785" spans="6:8" s="9" customFormat="1">
      <c r="F785" s="16"/>
      <c r="G785" s="16"/>
      <c r="H785" s="16"/>
    </row>
    <row r="786" spans="6:8" s="9" customFormat="1">
      <c r="F786" s="16"/>
      <c r="G786" s="16"/>
      <c r="H786" s="16"/>
    </row>
    <row r="787" spans="6:8" s="9" customFormat="1">
      <c r="F787" s="16"/>
      <c r="G787" s="16"/>
      <c r="H787" s="16"/>
    </row>
    <row r="788" spans="6:8" s="9" customFormat="1">
      <c r="F788" s="16"/>
      <c r="G788" s="16"/>
      <c r="H788" s="16"/>
    </row>
    <row r="789" spans="6:8" s="9" customFormat="1">
      <c r="F789" s="16"/>
      <c r="G789" s="16"/>
      <c r="H789" s="16"/>
    </row>
    <row r="790" spans="6:8" s="9" customFormat="1">
      <c r="F790" s="16"/>
      <c r="G790" s="16"/>
      <c r="H790" s="16"/>
    </row>
    <row r="791" spans="6:8" s="9" customFormat="1">
      <c r="F791" s="16"/>
      <c r="G791" s="16"/>
      <c r="H791" s="16"/>
    </row>
    <row r="792" spans="6:8" s="9" customFormat="1">
      <c r="F792" s="16"/>
      <c r="G792" s="16"/>
      <c r="H792" s="16"/>
    </row>
    <row r="793" spans="6:8" s="9" customFormat="1">
      <c r="F793" s="16"/>
      <c r="G793" s="16"/>
      <c r="H793" s="16"/>
    </row>
    <row r="794" spans="6:8" s="9" customFormat="1">
      <c r="F794" s="16"/>
      <c r="G794" s="16"/>
      <c r="H794" s="16"/>
    </row>
    <row r="795" spans="6:8" s="9" customFormat="1">
      <c r="F795" s="16"/>
      <c r="G795" s="16"/>
      <c r="H795" s="16"/>
    </row>
    <row r="796" spans="6:8" s="9" customFormat="1">
      <c r="F796" s="16"/>
      <c r="G796" s="16"/>
      <c r="H796" s="16"/>
    </row>
    <row r="797" spans="6:8" s="9" customFormat="1">
      <c r="F797" s="16"/>
      <c r="G797" s="16"/>
      <c r="H797" s="16"/>
    </row>
    <row r="798" spans="6:8" s="9" customFormat="1">
      <c r="F798" s="16"/>
      <c r="G798" s="16"/>
      <c r="H798" s="16"/>
    </row>
    <row r="799" spans="6:8" s="9" customFormat="1">
      <c r="F799" s="16"/>
      <c r="G799" s="16"/>
      <c r="H799" s="16"/>
    </row>
    <row r="800" spans="6:8" s="9" customFormat="1">
      <c r="F800" s="16"/>
      <c r="G800" s="16"/>
      <c r="H800" s="16"/>
    </row>
    <row r="801" spans="6:8" s="9" customFormat="1">
      <c r="F801" s="16"/>
      <c r="G801" s="16"/>
      <c r="H801" s="16"/>
    </row>
    <row r="802" spans="6:8" s="9" customFormat="1">
      <c r="F802" s="16"/>
      <c r="G802" s="16"/>
      <c r="H802" s="16"/>
    </row>
    <row r="803" spans="6:8" s="9" customFormat="1">
      <c r="F803" s="16"/>
      <c r="G803" s="16"/>
      <c r="H803" s="16"/>
    </row>
    <row r="804" spans="6:8" s="9" customFormat="1">
      <c r="F804" s="16"/>
      <c r="G804" s="16"/>
      <c r="H804" s="16"/>
    </row>
    <row r="805" spans="6:8" s="9" customFormat="1">
      <c r="F805" s="16"/>
      <c r="G805" s="16"/>
      <c r="H805" s="16"/>
    </row>
    <row r="806" spans="6:8" s="9" customFormat="1">
      <c r="F806" s="16"/>
      <c r="G806" s="16"/>
      <c r="H806" s="16"/>
    </row>
    <row r="807" spans="6:8" s="9" customFormat="1">
      <c r="F807" s="16"/>
      <c r="G807" s="16"/>
      <c r="H807" s="16"/>
    </row>
    <row r="808" spans="6:8" s="9" customFormat="1">
      <c r="F808" s="16"/>
      <c r="G808" s="16"/>
      <c r="H808" s="16"/>
    </row>
    <row r="809" spans="6:8" s="9" customFormat="1">
      <c r="F809" s="16"/>
      <c r="G809" s="16"/>
      <c r="H809" s="16"/>
    </row>
    <row r="810" spans="6:8" s="9" customFormat="1">
      <c r="F810" s="16"/>
      <c r="G810" s="16"/>
      <c r="H810" s="16"/>
    </row>
    <row r="811" spans="6:8" s="9" customFormat="1">
      <c r="F811" s="16"/>
      <c r="G811" s="16"/>
      <c r="H811" s="16"/>
    </row>
    <row r="812" spans="6:8" s="9" customFormat="1">
      <c r="F812" s="16"/>
      <c r="G812" s="16"/>
      <c r="H812" s="16"/>
    </row>
    <row r="813" spans="6:8" s="9" customFormat="1">
      <c r="F813" s="16"/>
      <c r="G813" s="16"/>
      <c r="H813" s="16"/>
    </row>
    <row r="814" spans="6:8" s="9" customFormat="1">
      <c r="F814" s="16"/>
      <c r="G814" s="16"/>
      <c r="H814" s="16"/>
    </row>
    <row r="815" spans="6:8" s="9" customFormat="1">
      <c r="F815" s="16"/>
      <c r="G815" s="16"/>
      <c r="H815" s="16"/>
    </row>
    <row r="816" spans="6:8" s="9" customFormat="1">
      <c r="F816" s="16"/>
      <c r="G816" s="16"/>
      <c r="H816" s="16"/>
    </row>
    <row r="817" spans="6:8" s="9" customFormat="1">
      <c r="F817" s="16"/>
      <c r="G817" s="16"/>
      <c r="H817" s="16"/>
    </row>
    <row r="818" spans="6:8" s="9" customFormat="1">
      <c r="F818" s="16"/>
      <c r="G818" s="16"/>
      <c r="H818" s="16"/>
    </row>
    <row r="819" spans="6:8" s="9" customFormat="1">
      <c r="F819" s="16"/>
      <c r="G819" s="16"/>
      <c r="H819" s="16"/>
    </row>
    <row r="820" spans="6:8" s="9" customFormat="1">
      <c r="F820" s="16"/>
      <c r="G820" s="16"/>
      <c r="H820" s="16"/>
    </row>
    <row r="821" spans="6:8" s="9" customFormat="1">
      <c r="F821" s="16"/>
      <c r="G821" s="16"/>
      <c r="H821" s="16"/>
    </row>
    <row r="822" spans="6:8" s="9" customFormat="1">
      <c r="F822" s="16"/>
      <c r="G822" s="16"/>
      <c r="H822" s="16"/>
    </row>
    <row r="823" spans="6:8" s="9" customFormat="1">
      <c r="F823" s="16"/>
      <c r="G823" s="16"/>
      <c r="H823" s="16"/>
    </row>
    <row r="824" spans="6:8" s="9" customFormat="1">
      <c r="F824" s="16"/>
      <c r="G824" s="16"/>
      <c r="H824" s="16"/>
    </row>
    <row r="825" spans="6:8" s="9" customFormat="1">
      <c r="F825" s="16"/>
      <c r="G825" s="16"/>
      <c r="H825" s="16"/>
    </row>
    <row r="826" spans="6:8" s="9" customFormat="1">
      <c r="F826" s="16"/>
      <c r="G826" s="16"/>
      <c r="H826" s="16"/>
    </row>
    <row r="827" spans="6:8" s="9" customFormat="1">
      <c r="F827" s="16"/>
      <c r="G827" s="16"/>
      <c r="H827" s="16"/>
    </row>
    <row r="828" spans="6:8" s="9" customFormat="1">
      <c r="F828" s="16"/>
      <c r="G828" s="16"/>
      <c r="H828" s="16"/>
    </row>
    <row r="829" spans="6:8" s="9" customFormat="1">
      <c r="F829" s="16"/>
      <c r="G829" s="16"/>
      <c r="H829" s="16"/>
    </row>
    <row r="830" spans="6:8" s="9" customFormat="1">
      <c r="F830" s="16"/>
      <c r="G830" s="16"/>
      <c r="H830" s="16"/>
    </row>
    <row r="831" spans="6:8" s="9" customFormat="1">
      <c r="F831" s="16"/>
      <c r="G831" s="16"/>
      <c r="H831" s="16"/>
    </row>
    <row r="832" spans="6:8" s="9" customFormat="1">
      <c r="F832" s="16"/>
      <c r="G832" s="16"/>
      <c r="H832" s="16"/>
    </row>
    <row r="833" spans="6:8" s="9" customFormat="1">
      <c r="F833" s="16"/>
      <c r="G833" s="16"/>
      <c r="H833" s="16"/>
    </row>
    <row r="834" spans="6:8" s="9" customFormat="1">
      <c r="F834" s="16"/>
      <c r="G834" s="16"/>
      <c r="H834" s="16"/>
    </row>
    <row r="835" spans="6:8" s="9" customFormat="1">
      <c r="F835" s="16"/>
      <c r="G835" s="16"/>
      <c r="H835" s="16"/>
    </row>
    <row r="836" spans="6:8" s="9" customFormat="1">
      <c r="F836" s="16"/>
      <c r="G836" s="16"/>
      <c r="H836" s="16"/>
    </row>
    <row r="837" spans="6:8" s="9" customFormat="1">
      <c r="F837" s="16"/>
      <c r="G837" s="16"/>
      <c r="H837" s="16"/>
    </row>
    <row r="838" spans="6:8" s="9" customFormat="1">
      <c r="F838" s="16"/>
      <c r="G838" s="16"/>
      <c r="H838" s="16"/>
    </row>
    <row r="839" spans="6:8" s="9" customFormat="1">
      <c r="F839" s="16"/>
      <c r="G839" s="16"/>
      <c r="H839" s="16"/>
    </row>
    <row r="840" spans="6:8" s="9" customFormat="1">
      <c r="F840" s="16"/>
      <c r="G840" s="16"/>
      <c r="H840" s="16"/>
    </row>
    <row r="841" spans="6:8" s="9" customFormat="1">
      <c r="F841" s="16"/>
      <c r="G841" s="16"/>
      <c r="H841" s="16"/>
    </row>
    <row r="842" spans="6:8" s="9" customFormat="1">
      <c r="F842" s="16"/>
      <c r="G842" s="16"/>
      <c r="H842" s="16"/>
    </row>
    <row r="843" spans="6:8" s="9" customFormat="1">
      <c r="F843" s="16"/>
      <c r="G843" s="16"/>
      <c r="H843" s="16"/>
    </row>
    <row r="844" spans="6:8" s="9" customFormat="1">
      <c r="F844" s="16"/>
      <c r="G844" s="16"/>
      <c r="H844" s="16"/>
    </row>
    <row r="845" spans="6:8" s="9" customFormat="1">
      <c r="F845" s="16"/>
      <c r="G845" s="16"/>
      <c r="H845" s="16"/>
    </row>
    <row r="846" spans="6:8" s="9" customFormat="1">
      <c r="F846" s="16"/>
      <c r="G846" s="16"/>
      <c r="H846" s="16"/>
    </row>
    <row r="847" spans="6:8" s="9" customFormat="1">
      <c r="F847" s="16"/>
      <c r="G847" s="16"/>
      <c r="H847" s="16"/>
    </row>
    <row r="848" spans="6:8" s="9" customFormat="1">
      <c r="F848" s="16"/>
      <c r="G848" s="16"/>
      <c r="H848" s="16"/>
    </row>
    <row r="849" spans="6:8" s="9" customFormat="1">
      <c r="F849" s="16"/>
      <c r="G849" s="16"/>
      <c r="H849" s="16"/>
    </row>
    <row r="850" spans="6:8" s="9" customFormat="1">
      <c r="F850" s="16"/>
      <c r="G850" s="16"/>
      <c r="H850" s="16"/>
    </row>
    <row r="851" spans="6:8" s="9" customFormat="1">
      <c r="F851" s="16"/>
      <c r="G851" s="16"/>
      <c r="H851" s="16"/>
    </row>
    <row r="852" spans="6:8" s="9" customFormat="1">
      <c r="F852" s="16"/>
      <c r="G852" s="16"/>
      <c r="H852" s="16"/>
    </row>
    <row r="853" spans="6:8" s="9" customFormat="1">
      <c r="F853" s="16"/>
      <c r="G853" s="16"/>
      <c r="H853" s="16"/>
    </row>
    <row r="854" spans="6:8" s="9" customFormat="1">
      <c r="F854" s="16"/>
      <c r="G854" s="16"/>
      <c r="H854" s="16"/>
    </row>
    <row r="855" spans="6:8" s="9" customFormat="1">
      <c r="F855" s="16"/>
      <c r="G855" s="16"/>
      <c r="H855" s="16"/>
    </row>
    <row r="856" spans="6:8" s="9" customFormat="1">
      <c r="F856" s="16"/>
      <c r="G856" s="16"/>
      <c r="H856" s="16"/>
    </row>
    <row r="857" spans="6:8" s="9" customFormat="1">
      <c r="F857" s="16"/>
      <c r="G857" s="16"/>
      <c r="H857" s="16"/>
    </row>
    <row r="858" spans="6:8" s="9" customFormat="1">
      <c r="F858" s="16"/>
      <c r="G858" s="16"/>
      <c r="H858" s="16"/>
    </row>
    <row r="859" spans="6:8" s="9" customFormat="1">
      <c r="F859" s="16"/>
      <c r="G859" s="16"/>
      <c r="H859" s="16"/>
    </row>
    <row r="860" spans="6:8" s="9" customFormat="1">
      <c r="F860" s="16"/>
      <c r="G860" s="16"/>
      <c r="H860" s="16"/>
    </row>
    <row r="861" spans="6:8" s="9" customFormat="1">
      <c r="F861" s="16"/>
      <c r="G861" s="16"/>
      <c r="H861" s="16"/>
    </row>
    <row r="862" spans="6:8" s="9" customFormat="1">
      <c r="F862" s="16"/>
      <c r="G862" s="16"/>
      <c r="H862" s="16"/>
    </row>
    <row r="863" spans="6:8" s="9" customFormat="1">
      <c r="F863" s="16"/>
      <c r="G863" s="16"/>
      <c r="H863" s="16"/>
    </row>
    <row r="864" spans="6:8" s="9" customFormat="1">
      <c r="F864" s="16"/>
      <c r="G864" s="16"/>
      <c r="H864" s="16"/>
    </row>
    <row r="865" spans="6:8" s="9" customFormat="1">
      <c r="F865" s="16"/>
      <c r="G865" s="16"/>
      <c r="H865" s="16"/>
    </row>
    <row r="866" spans="6:8" s="9" customFormat="1">
      <c r="F866" s="16"/>
      <c r="G866" s="16"/>
      <c r="H866" s="16"/>
    </row>
    <row r="867" spans="6:8" s="9" customFormat="1">
      <c r="F867" s="16"/>
      <c r="G867" s="16"/>
      <c r="H867" s="16"/>
    </row>
    <row r="868" spans="6:8" s="9" customFormat="1">
      <c r="F868" s="16"/>
      <c r="G868" s="16"/>
      <c r="H868" s="16"/>
    </row>
    <row r="869" spans="6:8" s="9" customFormat="1">
      <c r="F869" s="16"/>
      <c r="G869" s="16"/>
      <c r="H869" s="16"/>
    </row>
    <row r="870" spans="6:8" s="9" customFormat="1">
      <c r="F870" s="16"/>
      <c r="G870" s="16"/>
      <c r="H870" s="16"/>
    </row>
    <row r="871" spans="6:8" s="9" customFormat="1">
      <c r="F871" s="16"/>
      <c r="G871" s="16"/>
      <c r="H871" s="16"/>
    </row>
    <row r="872" spans="6:8" s="9" customFormat="1">
      <c r="F872" s="16"/>
      <c r="G872" s="16"/>
      <c r="H872" s="16"/>
    </row>
    <row r="873" spans="6:8" s="9" customFormat="1">
      <c r="F873" s="16"/>
      <c r="G873" s="16"/>
      <c r="H873" s="16"/>
    </row>
    <row r="874" spans="6:8" s="9" customFormat="1">
      <c r="F874" s="16"/>
      <c r="G874" s="16"/>
      <c r="H874" s="16"/>
    </row>
    <row r="875" spans="6:8" s="9" customFormat="1">
      <c r="F875" s="16"/>
      <c r="G875" s="16"/>
      <c r="H875" s="16"/>
    </row>
    <row r="876" spans="6:8" s="9" customFormat="1">
      <c r="F876" s="16"/>
      <c r="G876" s="16"/>
      <c r="H876" s="16"/>
    </row>
    <row r="877" spans="6:8" s="9" customFormat="1">
      <c r="F877" s="16"/>
      <c r="G877" s="16"/>
      <c r="H877" s="16"/>
    </row>
    <row r="878" spans="6:8" s="9" customFormat="1">
      <c r="F878" s="16"/>
      <c r="G878" s="16"/>
      <c r="H878" s="16"/>
    </row>
    <row r="879" spans="6:8" s="9" customFormat="1">
      <c r="F879" s="16"/>
      <c r="G879" s="16"/>
      <c r="H879" s="16"/>
    </row>
    <row r="880" spans="6:8" s="9" customFormat="1">
      <c r="F880" s="16"/>
      <c r="G880" s="16"/>
      <c r="H880" s="16"/>
    </row>
    <row r="881" spans="6:8" s="9" customFormat="1">
      <c r="F881" s="16"/>
      <c r="G881" s="16"/>
      <c r="H881" s="16"/>
    </row>
    <row r="882" spans="6:8" s="9" customFormat="1">
      <c r="F882" s="16"/>
      <c r="G882" s="16"/>
      <c r="H882" s="16"/>
    </row>
    <row r="883" spans="6:8" s="9" customFormat="1">
      <c r="F883" s="16"/>
      <c r="G883" s="16"/>
      <c r="H883" s="16"/>
    </row>
    <row r="884" spans="6:8" s="9" customFormat="1">
      <c r="F884" s="16"/>
      <c r="G884" s="16"/>
      <c r="H884" s="16"/>
    </row>
    <row r="885" spans="6:8" s="9" customFormat="1">
      <c r="F885" s="16"/>
      <c r="G885" s="16"/>
      <c r="H885" s="16"/>
    </row>
    <row r="886" spans="6:8" s="9" customFormat="1">
      <c r="F886" s="16"/>
      <c r="G886" s="16"/>
      <c r="H886" s="16"/>
    </row>
    <row r="887" spans="6:8" s="9" customFormat="1">
      <c r="F887" s="16"/>
      <c r="G887" s="16"/>
      <c r="H887" s="16"/>
    </row>
    <row r="888" spans="6:8" s="9" customFormat="1">
      <c r="F888" s="16"/>
      <c r="G888" s="16"/>
      <c r="H888" s="16"/>
    </row>
    <row r="889" spans="6:8" s="9" customFormat="1">
      <c r="F889" s="16"/>
      <c r="G889" s="16"/>
      <c r="H889" s="16"/>
    </row>
    <row r="890" spans="6:8" s="9" customFormat="1">
      <c r="F890" s="16"/>
      <c r="G890" s="16"/>
      <c r="H890" s="16"/>
    </row>
    <row r="891" spans="6:8" s="9" customFormat="1">
      <c r="F891" s="16"/>
      <c r="G891" s="16"/>
      <c r="H891" s="16"/>
    </row>
    <row r="892" spans="6:8" s="9" customFormat="1">
      <c r="F892" s="16"/>
      <c r="G892" s="16"/>
      <c r="H892" s="16"/>
    </row>
    <row r="893" spans="6:8" s="9" customFormat="1">
      <c r="F893" s="16"/>
      <c r="G893" s="16"/>
      <c r="H893" s="16"/>
    </row>
    <row r="894" spans="6:8" s="9" customFormat="1">
      <c r="F894" s="16"/>
      <c r="G894" s="16"/>
      <c r="H894" s="16"/>
    </row>
    <row r="895" spans="6:8" s="9" customFormat="1">
      <c r="F895" s="16"/>
      <c r="G895" s="16"/>
      <c r="H895" s="16"/>
    </row>
    <row r="896" spans="6:8" s="9" customFormat="1">
      <c r="F896" s="16"/>
      <c r="G896" s="16"/>
      <c r="H896" s="16"/>
    </row>
    <row r="897" spans="6:8" s="9" customFormat="1">
      <c r="F897" s="16"/>
      <c r="G897" s="16"/>
      <c r="H897" s="16"/>
    </row>
    <row r="898" spans="6:8" s="9" customFormat="1">
      <c r="F898" s="16"/>
      <c r="G898" s="16"/>
      <c r="H898" s="16"/>
    </row>
    <row r="899" spans="6:8" s="9" customFormat="1">
      <c r="F899" s="16"/>
      <c r="G899" s="16"/>
      <c r="H899" s="16"/>
    </row>
    <row r="900" spans="6:8" s="9" customFormat="1">
      <c r="F900" s="16"/>
      <c r="G900" s="16"/>
      <c r="H900" s="16"/>
    </row>
    <row r="901" spans="6:8" s="9" customFormat="1">
      <c r="F901" s="16"/>
      <c r="G901" s="16"/>
      <c r="H901" s="16"/>
    </row>
    <row r="902" spans="6:8" s="9" customFormat="1">
      <c r="F902" s="16"/>
      <c r="G902" s="16"/>
      <c r="H902" s="16"/>
    </row>
    <row r="903" spans="6:8" s="9" customFormat="1">
      <c r="F903" s="16"/>
      <c r="G903" s="16"/>
      <c r="H903" s="16"/>
    </row>
    <row r="904" spans="6:8" s="9" customFormat="1">
      <c r="F904" s="16"/>
      <c r="G904" s="16"/>
      <c r="H904" s="16"/>
    </row>
    <row r="905" spans="6:8" s="9" customFormat="1">
      <c r="F905" s="16"/>
      <c r="G905" s="16"/>
      <c r="H905" s="16"/>
    </row>
    <row r="906" spans="6:8" s="9" customFormat="1">
      <c r="F906" s="16"/>
      <c r="G906" s="16"/>
      <c r="H906" s="16"/>
    </row>
    <row r="907" spans="6:8" s="9" customFormat="1">
      <c r="F907" s="16"/>
      <c r="G907" s="16"/>
      <c r="H907" s="16"/>
    </row>
    <row r="908" spans="6:8" s="9" customFormat="1">
      <c r="F908" s="16"/>
      <c r="G908" s="16"/>
      <c r="H908" s="16"/>
    </row>
    <row r="909" spans="6:8" s="9" customFormat="1">
      <c r="F909" s="16"/>
      <c r="G909" s="16"/>
      <c r="H909" s="16"/>
    </row>
    <row r="910" spans="6:8" s="9" customFormat="1">
      <c r="F910" s="16"/>
      <c r="G910" s="16"/>
      <c r="H910" s="16"/>
    </row>
    <row r="911" spans="6:8" s="9" customFormat="1">
      <c r="F911" s="16"/>
      <c r="G911" s="16"/>
      <c r="H911" s="16"/>
    </row>
    <row r="912" spans="6:8" s="9" customFormat="1">
      <c r="F912" s="16"/>
      <c r="G912" s="16"/>
      <c r="H912" s="16"/>
    </row>
    <row r="913" spans="6:8" s="9" customFormat="1">
      <c r="F913" s="16"/>
      <c r="G913" s="16"/>
      <c r="H913" s="16"/>
    </row>
    <row r="914" spans="6:8" s="9" customFormat="1">
      <c r="F914" s="16"/>
      <c r="G914" s="16"/>
      <c r="H914" s="16"/>
    </row>
    <row r="915" spans="6:8" s="9" customFormat="1">
      <c r="F915" s="16"/>
      <c r="G915" s="16"/>
      <c r="H915" s="16"/>
    </row>
    <row r="916" spans="6:8" s="9" customFormat="1">
      <c r="F916" s="16"/>
      <c r="G916" s="16"/>
      <c r="H916" s="16"/>
    </row>
    <row r="917" spans="6:8" s="9" customFormat="1">
      <c r="F917" s="16"/>
      <c r="G917" s="16"/>
      <c r="H917" s="16"/>
    </row>
    <row r="918" spans="6:8" s="9" customFormat="1">
      <c r="F918" s="16"/>
      <c r="G918" s="16"/>
      <c r="H918" s="16"/>
    </row>
    <row r="919" spans="6:8" s="9" customFormat="1">
      <c r="F919" s="16"/>
      <c r="G919" s="16"/>
      <c r="H919" s="16"/>
    </row>
    <row r="920" spans="6:8" s="9" customFormat="1">
      <c r="F920" s="16"/>
      <c r="G920" s="16"/>
      <c r="H920" s="16"/>
    </row>
    <row r="921" spans="6:8" s="9" customFormat="1">
      <c r="F921" s="16"/>
      <c r="G921" s="16"/>
      <c r="H921" s="16"/>
    </row>
    <row r="922" spans="6:8" s="9" customFormat="1">
      <c r="F922" s="16"/>
      <c r="G922" s="16"/>
      <c r="H922" s="16"/>
    </row>
    <row r="923" spans="6:8" s="9" customFormat="1">
      <c r="F923" s="16"/>
      <c r="G923" s="16"/>
      <c r="H923" s="16"/>
    </row>
    <row r="924" spans="6:8" s="9" customFormat="1">
      <c r="F924" s="16"/>
      <c r="G924" s="16"/>
      <c r="H924" s="16"/>
    </row>
    <row r="925" spans="6:8" s="9" customFormat="1">
      <c r="F925" s="16"/>
      <c r="G925" s="16"/>
      <c r="H925" s="16"/>
    </row>
    <row r="926" spans="6:8" s="9" customFormat="1">
      <c r="F926" s="16"/>
      <c r="G926" s="16"/>
      <c r="H926" s="16"/>
    </row>
    <row r="927" spans="6:8" s="9" customFormat="1">
      <c r="F927" s="16"/>
      <c r="G927" s="16"/>
      <c r="H927" s="16"/>
    </row>
    <row r="928" spans="6:8" s="9" customFormat="1">
      <c r="F928" s="16"/>
      <c r="G928" s="16"/>
      <c r="H928" s="16"/>
    </row>
    <row r="929" spans="6:8" s="9" customFormat="1">
      <c r="F929" s="16"/>
      <c r="G929" s="16"/>
      <c r="H929" s="16"/>
    </row>
    <row r="930" spans="6:8" s="9" customFormat="1">
      <c r="F930" s="16"/>
      <c r="G930" s="16"/>
      <c r="H930" s="16"/>
    </row>
    <row r="931" spans="6:8" s="9" customFormat="1">
      <c r="F931" s="16"/>
      <c r="G931" s="16"/>
      <c r="H931" s="16"/>
    </row>
    <row r="932" spans="6:8" s="9" customFormat="1">
      <c r="F932" s="16"/>
      <c r="G932" s="16"/>
      <c r="H932" s="16"/>
    </row>
    <row r="933" spans="6:8" s="9" customFormat="1">
      <c r="F933" s="16"/>
      <c r="G933" s="16"/>
      <c r="H933" s="16"/>
    </row>
    <row r="934" spans="6:8" s="9" customFormat="1">
      <c r="F934" s="16"/>
      <c r="G934" s="16"/>
      <c r="H934" s="16"/>
    </row>
    <row r="935" spans="6:8" s="9" customFormat="1">
      <c r="F935" s="16"/>
      <c r="G935" s="16"/>
      <c r="H935" s="16"/>
    </row>
    <row r="936" spans="6:8" s="9" customFormat="1">
      <c r="F936" s="16"/>
      <c r="G936" s="16"/>
      <c r="H936" s="16"/>
    </row>
    <row r="937" spans="6:8" s="9" customFormat="1">
      <c r="F937" s="16"/>
      <c r="G937" s="16"/>
      <c r="H937" s="16"/>
    </row>
    <row r="938" spans="6:8" s="9" customFormat="1">
      <c r="F938" s="16"/>
      <c r="G938" s="16"/>
      <c r="H938" s="16"/>
    </row>
    <row r="939" spans="6:8" s="9" customFormat="1">
      <c r="F939" s="16"/>
      <c r="G939" s="16"/>
      <c r="H939" s="16"/>
    </row>
    <row r="940" spans="6:8" s="9" customFormat="1">
      <c r="F940" s="16"/>
      <c r="G940" s="16"/>
      <c r="H940" s="16"/>
    </row>
    <row r="941" spans="6:8" s="9" customFormat="1">
      <c r="F941" s="16"/>
      <c r="G941" s="16"/>
      <c r="H941" s="16"/>
    </row>
    <row r="942" spans="6:8" s="9" customFormat="1">
      <c r="F942" s="16"/>
      <c r="G942" s="16"/>
      <c r="H942" s="16"/>
    </row>
    <row r="943" spans="6:8" s="9" customFormat="1">
      <c r="F943" s="16"/>
      <c r="G943" s="16"/>
      <c r="H943" s="16"/>
    </row>
    <row r="944" spans="6:8" s="9" customFormat="1">
      <c r="F944" s="16"/>
      <c r="G944" s="16"/>
      <c r="H944" s="16"/>
    </row>
    <row r="945" spans="6:8" s="9" customFormat="1">
      <c r="F945" s="16"/>
      <c r="G945" s="16"/>
      <c r="H945" s="16"/>
    </row>
    <row r="946" spans="6:8" s="9" customFormat="1">
      <c r="F946" s="16"/>
      <c r="G946" s="16"/>
      <c r="H946" s="16"/>
    </row>
    <row r="947" spans="6:8" s="9" customFormat="1">
      <c r="F947" s="16"/>
      <c r="G947" s="16"/>
      <c r="H947" s="16"/>
    </row>
    <row r="948" spans="6:8" s="9" customFormat="1">
      <c r="F948" s="16"/>
      <c r="G948" s="16"/>
      <c r="H948" s="16"/>
    </row>
    <row r="949" spans="6:8" s="9" customFormat="1">
      <c r="F949" s="16"/>
      <c r="G949" s="16"/>
      <c r="H949" s="16"/>
    </row>
    <row r="950" spans="6:8" s="9" customFormat="1">
      <c r="F950" s="16"/>
      <c r="G950" s="16"/>
      <c r="H950" s="16"/>
    </row>
    <row r="951" spans="6:8" s="9" customFormat="1">
      <c r="F951" s="16"/>
      <c r="G951" s="16"/>
      <c r="H951" s="16"/>
    </row>
    <row r="952" spans="6:8" s="9" customFormat="1">
      <c r="F952" s="16"/>
      <c r="G952" s="16"/>
      <c r="H952" s="16"/>
    </row>
    <row r="953" spans="6:8" s="9" customFormat="1">
      <c r="F953" s="16"/>
      <c r="G953" s="16"/>
      <c r="H953" s="16"/>
    </row>
    <row r="954" spans="6:8" s="9" customFormat="1">
      <c r="F954" s="16"/>
      <c r="G954" s="16"/>
      <c r="H954" s="16"/>
    </row>
    <row r="955" spans="6:8" s="9" customFormat="1">
      <c r="F955" s="16"/>
      <c r="G955" s="16"/>
      <c r="H955" s="16"/>
    </row>
    <row r="956" spans="6:8" s="9" customFormat="1">
      <c r="F956" s="16"/>
      <c r="G956" s="16"/>
      <c r="H956" s="16"/>
    </row>
    <row r="957" spans="6:8" s="9" customFormat="1">
      <c r="F957" s="16"/>
      <c r="G957" s="16"/>
      <c r="H957" s="16"/>
    </row>
    <row r="958" spans="6:8" s="9" customFormat="1">
      <c r="F958" s="16"/>
      <c r="G958" s="16"/>
      <c r="H958" s="16"/>
    </row>
    <row r="959" spans="6:8" s="9" customFormat="1">
      <c r="F959" s="16"/>
      <c r="G959" s="16"/>
      <c r="H959" s="16"/>
    </row>
    <row r="960" spans="6:8" s="9" customFormat="1">
      <c r="F960" s="16"/>
      <c r="G960" s="16"/>
      <c r="H960" s="16"/>
    </row>
    <row r="961" spans="6:8" s="9" customFormat="1">
      <c r="F961" s="16"/>
      <c r="G961" s="16"/>
      <c r="H961" s="16"/>
    </row>
    <row r="962" spans="6:8" s="9" customFormat="1">
      <c r="F962" s="16"/>
      <c r="G962" s="16"/>
      <c r="H962" s="16"/>
    </row>
    <row r="963" spans="6:8" s="9" customFormat="1">
      <c r="F963" s="16"/>
      <c r="G963" s="16"/>
      <c r="H963" s="16"/>
    </row>
    <row r="964" spans="6:8" s="9" customFormat="1">
      <c r="F964" s="16"/>
      <c r="G964" s="16"/>
      <c r="H964" s="16"/>
    </row>
    <row r="965" spans="6:8" s="9" customFormat="1">
      <c r="F965" s="16"/>
      <c r="G965" s="16"/>
      <c r="H965" s="16"/>
    </row>
    <row r="966" spans="6:8" s="9" customFormat="1">
      <c r="F966" s="16"/>
      <c r="G966" s="16"/>
      <c r="H966" s="16"/>
    </row>
    <row r="967" spans="6:8" s="9" customFormat="1">
      <c r="F967" s="16"/>
      <c r="G967" s="16"/>
      <c r="H967" s="16"/>
    </row>
    <row r="968" spans="6:8" s="9" customFormat="1">
      <c r="F968" s="16"/>
      <c r="G968" s="16"/>
      <c r="H968" s="16"/>
    </row>
    <row r="969" spans="6:8" s="9" customFormat="1">
      <c r="F969" s="16"/>
      <c r="G969" s="16"/>
      <c r="H969" s="16"/>
    </row>
    <row r="970" spans="6:8" s="9" customFormat="1">
      <c r="F970" s="16"/>
      <c r="G970" s="16"/>
      <c r="H970" s="16"/>
    </row>
    <row r="971" spans="6:8" s="9" customFormat="1">
      <c r="F971" s="16"/>
      <c r="G971" s="16"/>
      <c r="H971" s="16"/>
    </row>
    <row r="972" spans="6:8" s="9" customFormat="1">
      <c r="F972" s="16"/>
      <c r="G972" s="16"/>
      <c r="H972" s="16"/>
    </row>
    <row r="973" spans="6:8" s="9" customFormat="1">
      <c r="F973" s="16"/>
      <c r="G973" s="16"/>
      <c r="H973" s="16"/>
    </row>
    <row r="974" spans="6:8" s="9" customFormat="1">
      <c r="F974" s="16"/>
      <c r="G974" s="16"/>
      <c r="H974" s="16"/>
    </row>
    <row r="975" spans="6:8" s="9" customFormat="1">
      <c r="F975" s="16"/>
      <c r="G975" s="16"/>
      <c r="H975" s="16"/>
    </row>
    <row r="976" spans="6:8" s="9" customFormat="1">
      <c r="F976" s="16"/>
      <c r="G976" s="16"/>
      <c r="H976" s="16"/>
    </row>
    <row r="977" spans="6:8" s="9" customFormat="1">
      <c r="F977" s="16"/>
      <c r="G977" s="16"/>
      <c r="H977" s="16"/>
    </row>
    <row r="978" spans="6:8" s="9" customFormat="1">
      <c r="F978" s="16"/>
      <c r="G978" s="16"/>
      <c r="H978" s="16"/>
    </row>
    <row r="979" spans="6:8" s="9" customFormat="1">
      <c r="F979" s="16"/>
      <c r="G979" s="16"/>
      <c r="H979" s="16"/>
    </row>
    <row r="980" spans="6:8" s="9" customFormat="1">
      <c r="F980" s="16"/>
      <c r="G980" s="16"/>
      <c r="H980" s="16"/>
    </row>
    <row r="981" spans="6:8" s="9" customFormat="1">
      <c r="F981" s="16"/>
      <c r="G981" s="16"/>
      <c r="H981" s="16"/>
    </row>
    <row r="982" spans="6:8" s="9" customFormat="1">
      <c r="F982" s="16"/>
      <c r="G982" s="16"/>
      <c r="H982" s="16"/>
    </row>
    <row r="983" spans="6:8" s="9" customFormat="1">
      <c r="F983" s="16"/>
      <c r="G983" s="16"/>
      <c r="H983" s="16"/>
    </row>
    <row r="984" spans="6:8" s="9" customFormat="1">
      <c r="F984" s="16"/>
      <c r="G984" s="16"/>
      <c r="H984" s="16"/>
    </row>
    <row r="985" spans="6:8" s="9" customFormat="1">
      <c r="F985" s="16"/>
      <c r="G985" s="16"/>
      <c r="H985" s="16"/>
    </row>
    <row r="986" spans="6:8" s="9" customFormat="1">
      <c r="F986" s="16"/>
      <c r="G986" s="16"/>
      <c r="H986" s="16"/>
    </row>
    <row r="987" spans="6:8" s="9" customFormat="1">
      <c r="F987" s="16"/>
      <c r="G987" s="16"/>
      <c r="H987" s="16"/>
    </row>
    <row r="988" spans="6:8" s="9" customFormat="1">
      <c r="F988" s="16"/>
      <c r="G988" s="16"/>
      <c r="H988" s="16"/>
    </row>
    <row r="989" spans="6:8" s="9" customFormat="1">
      <c r="F989" s="16"/>
      <c r="G989" s="16"/>
      <c r="H989" s="16"/>
    </row>
    <row r="990" spans="6:8" s="9" customFormat="1">
      <c r="F990" s="16"/>
      <c r="G990" s="16"/>
      <c r="H990" s="16"/>
    </row>
    <row r="991" spans="6:8" s="9" customFormat="1">
      <c r="F991" s="16"/>
      <c r="G991" s="16"/>
      <c r="H991" s="16"/>
    </row>
    <row r="992" spans="6:8" s="9" customFormat="1">
      <c r="F992" s="16"/>
      <c r="G992" s="16"/>
      <c r="H992" s="16"/>
    </row>
    <row r="993" spans="6:8" s="9" customFormat="1">
      <c r="F993" s="16"/>
      <c r="G993" s="16"/>
      <c r="H993" s="16"/>
    </row>
    <row r="994" spans="6:8" s="9" customFormat="1">
      <c r="F994" s="16"/>
      <c r="G994" s="16"/>
      <c r="H994" s="16"/>
    </row>
    <row r="995" spans="6:8" s="9" customFormat="1">
      <c r="F995" s="16"/>
      <c r="G995" s="16"/>
      <c r="H995" s="16"/>
    </row>
    <row r="996" spans="6:8" s="9" customFormat="1">
      <c r="F996" s="16"/>
      <c r="G996" s="16"/>
      <c r="H996" s="16"/>
    </row>
    <row r="997" spans="6:8" s="9" customFormat="1">
      <c r="F997" s="16"/>
      <c r="G997" s="16"/>
      <c r="H997" s="16"/>
    </row>
    <row r="998" spans="6:8" s="9" customFormat="1">
      <c r="F998" s="16"/>
      <c r="G998" s="16"/>
      <c r="H998" s="16"/>
    </row>
    <row r="999" spans="6:8" s="9" customFormat="1">
      <c r="F999" s="16"/>
      <c r="G999" s="16"/>
      <c r="H999" s="16"/>
    </row>
    <row r="1000" spans="6:8" s="9" customFormat="1">
      <c r="F1000" s="16"/>
      <c r="G1000" s="16"/>
      <c r="H1000" s="16"/>
    </row>
    <row r="1001" spans="6:8" s="9" customFormat="1">
      <c r="F1001" s="16"/>
      <c r="G1001" s="16"/>
      <c r="H1001" s="16"/>
    </row>
    <row r="1002" spans="6:8" s="9" customFormat="1">
      <c r="F1002" s="16"/>
      <c r="G1002" s="16"/>
      <c r="H1002" s="16"/>
    </row>
    <row r="1003" spans="6:8" s="9" customFormat="1">
      <c r="F1003" s="16"/>
      <c r="G1003" s="16"/>
      <c r="H1003" s="16"/>
    </row>
    <row r="1004" spans="6:8" s="9" customFormat="1">
      <c r="F1004" s="16"/>
      <c r="G1004" s="16"/>
      <c r="H1004" s="16"/>
    </row>
    <row r="1005" spans="6:8" s="9" customFormat="1">
      <c r="F1005" s="16"/>
      <c r="G1005" s="16"/>
      <c r="H1005" s="16"/>
    </row>
    <row r="1006" spans="6:8" s="9" customFormat="1">
      <c r="F1006" s="16"/>
      <c r="G1006" s="16"/>
      <c r="H1006" s="16"/>
    </row>
    <row r="1007" spans="6:8" s="9" customFormat="1">
      <c r="F1007" s="16"/>
      <c r="G1007" s="16"/>
      <c r="H1007" s="16"/>
    </row>
    <row r="1008" spans="6:8" s="9" customFormat="1">
      <c r="F1008" s="16"/>
      <c r="G1008" s="16"/>
      <c r="H1008" s="16"/>
    </row>
    <row r="1009" spans="6:8" s="9" customFormat="1">
      <c r="F1009" s="16"/>
      <c r="G1009" s="16"/>
      <c r="H1009" s="16"/>
    </row>
    <row r="1010" spans="6:8" s="9" customFormat="1">
      <c r="F1010" s="16"/>
      <c r="G1010" s="16"/>
      <c r="H1010" s="16"/>
    </row>
    <row r="1011" spans="6:8" s="9" customFormat="1">
      <c r="F1011" s="16"/>
      <c r="G1011" s="16"/>
      <c r="H1011" s="16"/>
    </row>
    <row r="1012" spans="6:8" s="9" customFormat="1">
      <c r="F1012" s="16"/>
      <c r="G1012" s="16"/>
      <c r="H1012" s="16"/>
    </row>
    <row r="1013" spans="6:8" s="9" customFormat="1">
      <c r="F1013" s="16"/>
      <c r="G1013" s="16"/>
      <c r="H1013" s="16"/>
    </row>
    <row r="1014" spans="6:8" s="9" customFormat="1">
      <c r="F1014" s="16"/>
      <c r="G1014" s="16"/>
      <c r="H1014" s="16"/>
    </row>
    <row r="1015" spans="6:8" s="9" customFormat="1">
      <c r="F1015" s="16"/>
      <c r="G1015" s="16"/>
      <c r="H1015" s="16"/>
    </row>
    <row r="1016" spans="6:8" s="9" customFormat="1">
      <c r="F1016" s="16"/>
      <c r="G1016" s="16"/>
      <c r="H1016" s="16"/>
    </row>
    <row r="1017" spans="6:8" s="9" customFormat="1">
      <c r="F1017" s="16"/>
      <c r="G1017" s="16"/>
      <c r="H1017" s="16"/>
    </row>
    <row r="1018" spans="6:8" s="9" customFormat="1">
      <c r="F1018" s="16"/>
      <c r="G1018" s="16"/>
      <c r="H1018" s="16"/>
    </row>
    <row r="1019" spans="6:8" s="9" customFormat="1">
      <c r="F1019" s="16"/>
      <c r="G1019" s="16"/>
      <c r="H1019" s="16"/>
    </row>
    <row r="1020" spans="6:8" s="9" customFormat="1">
      <c r="F1020" s="16"/>
      <c r="G1020" s="16"/>
      <c r="H1020" s="16"/>
    </row>
    <row r="1021" spans="6:8" s="9" customFormat="1">
      <c r="F1021" s="16"/>
      <c r="G1021" s="16"/>
      <c r="H1021" s="16"/>
    </row>
    <row r="1022" spans="6:8" s="9" customFormat="1">
      <c r="F1022" s="16"/>
      <c r="G1022" s="16"/>
      <c r="H1022" s="16"/>
    </row>
    <row r="1023" spans="6:8" s="9" customFormat="1">
      <c r="F1023" s="16"/>
      <c r="G1023" s="16"/>
      <c r="H1023" s="16"/>
    </row>
    <row r="1024" spans="6:8" s="9" customFormat="1">
      <c r="F1024" s="16"/>
      <c r="G1024" s="16"/>
      <c r="H1024" s="16"/>
    </row>
    <row r="1025" spans="6:8" s="9" customFormat="1">
      <c r="F1025" s="16"/>
      <c r="G1025" s="16"/>
      <c r="H1025" s="16"/>
    </row>
    <row r="1026" spans="6:8" s="9" customFormat="1">
      <c r="F1026" s="16"/>
      <c r="G1026" s="16"/>
      <c r="H1026" s="16"/>
    </row>
    <row r="1027" spans="6:8" s="9" customFormat="1">
      <c r="F1027" s="16"/>
      <c r="G1027" s="16"/>
      <c r="H1027" s="16"/>
    </row>
    <row r="1028" spans="6:8" s="9" customFormat="1">
      <c r="F1028" s="16"/>
      <c r="G1028" s="16"/>
      <c r="H1028" s="16"/>
    </row>
    <row r="1029" spans="6:8" s="9" customFormat="1">
      <c r="F1029" s="16"/>
      <c r="G1029" s="16"/>
      <c r="H1029" s="16"/>
    </row>
    <row r="1030" spans="6:8" s="9" customFormat="1">
      <c r="F1030" s="16"/>
      <c r="G1030" s="16"/>
      <c r="H1030" s="16"/>
    </row>
    <row r="1031" spans="6:8" s="9" customFormat="1">
      <c r="F1031" s="16"/>
      <c r="G1031" s="16"/>
      <c r="H1031" s="16"/>
    </row>
    <row r="1032" spans="6:8" s="9" customFormat="1">
      <c r="F1032" s="16"/>
      <c r="G1032" s="16"/>
      <c r="H1032" s="16"/>
    </row>
    <row r="1033" spans="6:8" s="9" customFormat="1">
      <c r="F1033" s="16"/>
      <c r="G1033" s="16"/>
      <c r="H1033" s="16"/>
    </row>
    <row r="1034" spans="6:8" s="9" customFormat="1">
      <c r="F1034" s="16"/>
      <c r="G1034" s="16"/>
      <c r="H1034" s="16"/>
    </row>
    <row r="1035" spans="6:8" s="9" customFormat="1">
      <c r="F1035" s="16"/>
      <c r="G1035" s="16"/>
      <c r="H1035" s="16"/>
    </row>
    <row r="1036" spans="6:8" s="9" customFormat="1">
      <c r="F1036" s="16"/>
      <c r="G1036" s="16"/>
      <c r="H1036" s="16"/>
    </row>
    <row r="1037" spans="6:8" s="9" customFormat="1">
      <c r="F1037" s="16"/>
      <c r="G1037" s="16"/>
      <c r="H1037" s="16"/>
    </row>
    <row r="1038" spans="6:8" s="9" customFormat="1">
      <c r="F1038" s="16"/>
      <c r="G1038" s="16"/>
      <c r="H1038" s="16"/>
    </row>
    <row r="1039" spans="6:8" s="9" customFormat="1">
      <c r="F1039" s="16"/>
      <c r="G1039" s="16"/>
      <c r="H1039" s="16"/>
    </row>
    <row r="1040" spans="6:8" s="9" customFormat="1">
      <c r="F1040" s="16"/>
      <c r="G1040" s="16"/>
      <c r="H1040" s="16"/>
    </row>
    <row r="1041" spans="1:20">
      <c r="E1041" s="9"/>
      <c r="F1041" s="16"/>
      <c r="G1041" s="16"/>
      <c r="H1041" s="16"/>
      <c r="I1041" s="9"/>
      <c r="J1041" s="9"/>
      <c r="K1041" s="9"/>
      <c r="L1041" s="9"/>
      <c r="M1041" s="9"/>
      <c r="N1041" s="9"/>
      <c r="O1041" s="9"/>
      <c r="P1041" s="9"/>
      <c r="Q1041" s="9"/>
      <c r="R1041" s="9"/>
      <c r="S1041" s="9"/>
      <c r="T1041" s="9"/>
    </row>
    <row r="1042" spans="1:20">
      <c r="E1042" s="9"/>
      <c r="F1042" s="16"/>
      <c r="G1042" s="16"/>
      <c r="H1042" s="16"/>
      <c r="I1042" s="9"/>
      <c r="J1042" s="9"/>
      <c r="K1042" s="9"/>
      <c r="L1042" s="9"/>
      <c r="M1042" s="9"/>
      <c r="N1042" s="9"/>
      <c r="O1042" s="9"/>
      <c r="P1042" s="9"/>
      <c r="Q1042" s="9"/>
      <c r="R1042" s="9"/>
      <c r="S1042" s="9"/>
      <c r="T1042" s="9"/>
    </row>
    <row r="1043" spans="1:20">
      <c r="E1043" s="9"/>
      <c r="F1043" s="16"/>
      <c r="G1043" s="16"/>
      <c r="H1043" s="16"/>
      <c r="I1043" s="9"/>
      <c r="J1043" s="9"/>
      <c r="K1043" s="9"/>
      <c r="L1043" s="9"/>
      <c r="M1043" s="9"/>
      <c r="N1043" s="9"/>
      <c r="O1043" s="9"/>
      <c r="P1043" s="9"/>
      <c r="Q1043" s="9"/>
      <c r="R1043" s="9"/>
      <c r="S1043" s="9"/>
      <c r="T1043" s="9"/>
    </row>
    <row r="1044" spans="1:20">
      <c r="E1044" s="9"/>
      <c r="F1044" s="16"/>
      <c r="G1044" s="16"/>
      <c r="H1044" s="16"/>
      <c r="I1044" s="9"/>
      <c r="J1044" s="9"/>
      <c r="K1044" s="9"/>
      <c r="L1044" s="9"/>
      <c r="M1044" s="9"/>
      <c r="N1044" s="9"/>
      <c r="O1044" s="9"/>
      <c r="P1044" s="9"/>
      <c r="Q1044" s="9"/>
      <c r="R1044" s="9"/>
      <c r="S1044" s="9"/>
      <c r="T1044" s="9"/>
    </row>
    <row r="1045" spans="1:20">
      <c r="A1045" s="3"/>
      <c r="E1045" s="9"/>
      <c r="F1045" s="16"/>
      <c r="G1045" s="16"/>
      <c r="H1045" s="16"/>
      <c r="I1045" s="9"/>
      <c r="J1045" s="9"/>
      <c r="K1045" s="9"/>
      <c r="L1045" s="9"/>
      <c r="M1045" s="9"/>
      <c r="N1045" s="9"/>
      <c r="O1045" s="9"/>
      <c r="P1045" s="9"/>
      <c r="Q1045" s="9"/>
      <c r="R1045" s="9"/>
      <c r="S1045" s="9"/>
      <c r="T1045" s="9"/>
    </row>
    <row r="1046" spans="1:20">
      <c r="A1046" s="3"/>
      <c r="B1046" s="3"/>
      <c r="C1046" s="3"/>
      <c r="D1046" s="3"/>
      <c r="E1046" s="9"/>
      <c r="F1046" s="16"/>
      <c r="G1046" s="16"/>
      <c r="H1046" s="16"/>
      <c r="I1046" s="9"/>
      <c r="J1046" s="9"/>
      <c r="K1046" s="9"/>
      <c r="L1046" s="9"/>
      <c r="M1046" s="9"/>
      <c r="N1046" s="9"/>
      <c r="O1046" s="9"/>
      <c r="P1046" s="9"/>
      <c r="Q1046" s="9"/>
      <c r="R1046" s="9"/>
      <c r="S1046" s="9"/>
      <c r="T1046" s="9"/>
    </row>
    <row r="1047" spans="1:20">
      <c r="A1047" s="3"/>
      <c r="B1047" s="3"/>
      <c r="C1047" s="3"/>
      <c r="D1047" s="3"/>
      <c r="E1047" s="9"/>
      <c r="F1047" s="16"/>
      <c r="G1047" s="16"/>
      <c r="H1047" s="16"/>
      <c r="I1047" s="9"/>
      <c r="J1047" s="9"/>
      <c r="K1047" s="9"/>
      <c r="L1047" s="9"/>
      <c r="M1047" s="9"/>
      <c r="N1047" s="9"/>
      <c r="O1047" s="9"/>
      <c r="P1047" s="9"/>
      <c r="Q1047" s="9"/>
      <c r="R1047" s="9"/>
      <c r="S1047" s="9"/>
      <c r="T1047" s="9"/>
    </row>
    <row r="1048" spans="1:20">
      <c r="A1048" s="3"/>
      <c r="B1048" s="3"/>
      <c r="C1048" s="3"/>
      <c r="D1048" s="3"/>
      <c r="E1048" s="9"/>
      <c r="F1048" s="16"/>
      <c r="G1048" s="16"/>
      <c r="H1048" s="16"/>
      <c r="I1048" s="9"/>
      <c r="J1048" s="9"/>
      <c r="K1048" s="9"/>
      <c r="L1048" s="9"/>
      <c r="M1048" s="9"/>
      <c r="N1048" s="9"/>
      <c r="O1048" s="9"/>
      <c r="P1048" s="9"/>
      <c r="Q1048" s="9"/>
      <c r="R1048" s="9"/>
      <c r="S1048" s="9"/>
      <c r="T1048" s="9"/>
    </row>
    <row r="1049" spans="1:20">
      <c r="A1049" s="3"/>
      <c r="B1049" s="3"/>
      <c r="C1049" s="3"/>
      <c r="D1049" s="3"/>
      <c r="E1049" s="9"/>
      <c r="F1049" s="16"/>
      <c r="G1049" s="16"/>
      <c r="H1049" s="16"/>
      <c r="I1049" s="9"/>
      <c r="J1049" s="9"/>
      <c r="K1049" s="9"/>
      <c r="L1049" s="9"/>
      <c r="M1049" s="9"/>
      <c r="N1049" s="9"/>
      <c r="O1049" s="9"/>
      <c r="P1049" s="9"/>
      <c r="Q1049" s="9"/>
      <c r="R1049" s="9"/>
      <c r="S1049" s="9"/>
      <c r="T1049" s="9"/>
    </row>
    <row r="1050" spans="1:20">
      <c r="A1050" s="3"/>
      <c r="B1050" s="3"/>
      <c r="C1050" s="3"/>
      <c r="D1050" s="3"/>
      <c r="E1050" s="9"/>
      <c r="F1050" s="16"/>
      <c r="G1050" s="16"/>
      <c r="H1050" s="16"/>
      <c r="I1050" s="9"/>
      <c r="J1050" s="9"/>
      <c r="K1050" s="9"/>
      <c r="L1050" s="9"/>
      <c r="M1050" s="9"/>
      <c r="N1050" s="9"/>
      <c r="O1050" s="9"/>
      <c r="P1050" s="9"/>
      <c r="Q1050" s="9"/>
      <c r="R1050" s="9"/>
      <c r="S1050" s="9"/>
      <c r="T1050" s="9"/>
    </row>
    <row r="1051" spans="1:20">
      <c r="A1051" s="3"/>
      <c r="B1051" s="3"/>
      <c r="C1051" s="3"/>
      <c r="D1051" s="3"/>
      <c r="E1051" s="9"/>
      <c r="F1051" s="16"/>
      <c r="G1051" s="16"/>
      <c r="H1051" s="16"/>
      <c r="I1051" s="9"/>
      <c r="J1051" s="9"/>
      <c r="K1051" s="9"/>
      <c r="L1051" s="9"/>
      <c r="M1051" s="9"/>
      <c r="N1051" s="9"/>
      <c r="O1051" s="9"/>
      <c r="P1051" s="9"/>
      <c r="Q1051" s="9"/>
      <c r="R1051" s="9"/>
      <c r="S1051" s="9"/>
      <c r="T1051" s="9"/>
    </row>
    <row r="1052" spans="1:20">
      <c r="A1052" s="3"/>
      <c r="B1052" s="3"/>
      <c r="C1052" s="3"/>
      <c r="D1052" s="3"/>
      <c r="E1052" s="9"/>
      <c r="F1052" s="16"/>
      <c r="G1052" s="16"/>
      <c r="H1052" s="16"/>
      <c r="I1052" s="9"/>
      <c r="J1052" s="9"/>
      <c r="K1052" s="9"/>
      <c r="L1052" s="9"/>
      <c r="M1052" s="9"/>
      <c r="N1052" s="9"/>
      <c r="O1052" s="9"/>
      <c r="P1052" s="9"/>
      <c r="Q1052" s="9"/>
      <c r="R1052" s="9"/>
      <c r="S1052" s="9"/>
      <c r="T1052" s="9"/>
    </row>
    <row r="1053" spans="1:20">
      <c r="A1053" s="3"/>
      <c r="B1053" s="3"/>
      <c r="C1053" s="3"/>
      <c r="D1053" s="3"/>
      <c r="E1053" s="9"/>
      <c r="F1053" s="16"/>
      <c r="G1053" s="16"/>
      <c r="H1053" s="16"/>
      <c r="I1053" s="9"/>
      <c r="J1053" s="9"/>
      <c r="K1053" s="9"/>
      <c r="L1053" s="9"/>
      <c r="M1053" s="9"/>
      <c r="N1053" s="9"/>
      <c r="O1053" s="9"/>
      <c r="P1053" s="9"/>
      <c r="Q1053" s="9"/>
      <c r="R1053" s="9"/>
      <c r="S1053" s="9"/>
      <c r="T1053" s="9"/>
    </row>
    <row r="1054" spans="1:20">
      <c r="A1054" s="3"/>
      <c r="B1054" s="3"/>
      <c r="C1054" s="3"/>
      <c r="D1054" s="3"/>
      <c r="E1054" s="9"/>
      <c r="F1054" s="16"/>
      <c r="G1054" s="16"/>
      <c r="H1054" s="16"/>
      <c r="I1054" s="9"/>
      <c r="J1054" s="9"/>
      <c r="K1054" s="9"/>
      <c r="L1054" s="9"/>
      <c r="M1054" s="9"/>
      <c r="N1054" s="9"/>
      <c r="O1054" s="9"/>
      <c r="P1054" s="9"/>
      <c r="Q1054" s="9"/>
      <c r="R1054" s="9"/>
      <c r="S1054" s="9"/>
      <c r="T1054" s="9"/>
    </row>
    <row r="1055" spans="1:20">
      <c r="A1055" s="3"/>
      <c r="B1055" s="3"/>
      <c r="C1055" s="3"/>
      <c r="D1055" s="3"/>
      <c r="E1055" s="9"/>
      <c r="F1055" s="16"/>
      <c r="G1055" s="16"/>
      <c r="H1055" s="16"/>
      <c r="I1055" s="9"/>
      <c r="J1055" s="9"/>
      <c r="K1055" s="9"/>
      <c r="L1055" s="9"/>
      <c r="M1055" s="9"/>
      <c r="N1055" s="9"/>
      <c r="O1055" s="9"/>
      <c r="P1055" s="9"/>
      <c r="Q1055" s="9"/>
      <c r="R1055" s="9"/>
      <c r="S1055" s="9"/>
      <c r="T1055" s="9"/>
    </row>
    <row r="1056" spans="1:20">
      <c r="A1056" s="3"/>
      <c r="B1056" s="3"/>
      <c r="C1056" s="3"/>
      <c r="D1056" s="3"/>
      <c r="E1056" s="9"/>
      <c r="F1056" s="16"/>
      <c r="G1056" s="16"/>
      <c r="H1056" s="16"/>
      <c r="I1056" s="9"/>
      <c r="J1056" s="9"/>
      <c r="K1056" s="9"/>
      <c r="L1056" s="9"/>
      <c r="M1056" s="9"/>
      <c r="N1056" s="9"/>
      <c r="O1056" s="9"/>
      <c r="P1056" s="9"/>
      <c r="Q1056" s="9"/>
      <c r="R1056" s="9"/>
      <c r="S1056" s="9"/>
      <c r="T1056" s="9"/>
    </row>
    <row r="1057" spans="1:20">
      <c r="A1057" s="3"/>
      <c r="B1057" s="3"/>
      <c r="C1057" s="3"/>
      <c r="D1057" s="3"/>
      <c r="E1057" s="9"/>
      <c r="F1057" s="16"/>
      <c r="G1057" s="16"/>
      <c r="H1057" s="16"/>
      <c r="I1057" s="9"/>
      <c r="J1057" s="9"/>
      <c r="K1057" s="9"/>
      <c r="L1057" s="9"/>
      <c r="M1057" s="9"/>
      <c r="N1057" s="9"/>
      <c r="O1057" s="9"/>
      <c r="P1057" s="9"/>
      <c r="Q1057" s="9"/>
      <c r="R1057" s="9"/>
      <c r="S1057" s="9"/>
      <c r="T1057" s="9"/>
    </row>
    <row r="1058" spans="1:20">
      <c r="A1058" s="3"/>
      <c r="B1058" s="3"/>
      <c r="C1058" s="3"/>
      <c r="D1058" s="3"/>
      <c r="E1058" s="9"/>
      <c r="F1058" s="16"/>
      <c r="G1058" s="16"/>
      <c r="H1058" s="16"/>
      <c r="I1058" s="9"/>
      <c r="J1058" s="9"/>
      <c r="K1058" s="9"/>
      <c r="L1058" s="9"/>
      <c r="M1058" s="9"/>
      <c r="N1058" s="9"/>
      <c r="O1058" s="9"/>
      <c r="P1058" s="9"/>
      <c r="Q1058" s="9"/>
      <c r="R1058" s="9"/>
      <c r="S1058" s="9"/>
      <c r="T1058" s="9"/>
    </row>
    <row r="1059" spans="1:20">
      <c r="A1059" s="3"/>
      <c r="B1059" s="3"/>
      <c r="C1059" s="3"/>
      <c r="D1059" s="3"/>
      <c r="E1059" s="9"/>
      <c r="F1059" s="16"/>
      <c r="G1059" s="16"/>
      <c r="H1059" s="16"/>
      <c r="I1059" s="9"/>
      <c r="J1059" s="9"/>
      <c r="K1059" s="9"/>
      <c r="L1059" s="9"/>
      <c r="M1059" s="9"/>
      <c r="N1059" s="9"/>
      <c r="O1059" s="9"/>
      <c r="P1059" s="9"/>
      <c r="Q1059" s="9"/>
      <c r="R1059" s="9"/>
      <c r="S1059" s="9"/>
      <c r="T1059" s="9"/>
    </row>
    <row r="1060" spans="1:20">
      <c r="A1060" s="3"/>
      <c r="B1060" s="3"/>
      <c r="C1060" s="3"/>
      <c r="D1060" s="3"/>
      <c r="E1060" s="9"/>
      <c r="F1060" s="16"/>
      <c r="G1060" s="16"/>
      <c r="H1060" s="16"/>
      <c r="I1060" s="9"/>
      <c r="J1060" s="9"/>
      <c r="K1060" s="9"/>
      <c r="L1060" s="9"/>
      <c r="M1060" s="9"/>
      <c r="N1060" s="9"/>
      <c r="O1060" s="9"/>
      <c r="P1060" s="9"/>
      <c r="Q1060" s="9"/>
      <c r="R1060" s="9"/>
      <c r="S1060" s="9"/>
      <c r="T1060" s="9"/>
    </row>
    <row r="1061" spans="1:20">
      <c r="A1061" s="3"/>
      <c r="B1061" s="3"/>
      <c r="C1061" s="3"/>
      <c r="D1061" s="3"/>
      <c r="E1061" s="9"/>
      <c r="F1061" s="16"/>
      <c r="G1061" s="16"/>
      <c r="H1061" s="16"/>
      <c r="I1061" s="9"/>
      <c r="J1061" s="9"/>
      <c r="K1061" s="9"/>
      <c r="L1061" s="9"/>
      <c r="M1061" s="9"/>
      <c r="N1061" s="9"/>
      <c r="O1061" s="9"/>
      <c r="P1061" s="9"/>
      <c r="Q1061" s="9"/>
      <c r="R1061" s="9"/>
      <c r="S1061" s="9"/>
      <c r="T1061" s="9"/>
    </row>
    <row r="1062" spans="1:20">
      <c r="A1062" s="3"/>
      <c r="B1062" s="3"/>
      <c r="C1062" s="3"/>
      <c r="D1062" s="3"/>
      <c r="E1062" s="9"/>
      <c r="F1062" s="16"/>
      <c r="G1062" s="16"/>
      <c r="H1062" s="16"/>
      <c r="I1062" s="9"/>
      <c r="J1062" s="9"/>
      <c r="K1062" s="9"/>
      <c r="L1062" s="9"/>
      <c r="M1062" s="9"/>
      <c r="N1062" s="9"/>
      <c r="O1062" s="9"/>
      <c r="P1062" s="9"/>
      <c r="Q1062" s="9"/>
      <c r="R1062" s="9"/>
      <c r="S1062" s="9"/>
      <c r="T1062" s="9"/>
    </row>
    <row r="1063" spans="1:20">
      <c r="A1063" s="3"/>
      <c r="B1063" s="3"/>
      <c r="C1063" s="3"/>
      <c r="D1063" s="3"/>
      <c r="E1063" s="9"/>
      <c r="F1063" s="16"/>
      <c r="G1063" s="16"/>
      <c r="H1063" s="16"/>
      <c r="I1063" s="9"/>
      <c r="J1063" s="9"/>
      <c r="K1063" s="9"/>
      <c r="L1063" s="9"/>
      <c r="M1063" s="9"/>
      <c r="N1063" s="9"/>
      <c r="O1063" s="9"/>
      <c r="P1063" s="9"/>
      <c r="Q1063" s="9"/>
      <c r="R1063" s="9"/>
      <c r="S1063" s="9"/>
      <c r="T1063" s="9"/>
    </row>
    <row r="1064" spans="1:20">
      <c r="A1064" s="3"/>
      <c r="B1064" s="3"/>
      <c r="C1064" s="3"/>
      <c r="D1064" s="3"/>
      <c r="E1064" s="9"/>
      <c r="F1064" s="16"/>
      <c r="G1064" s="16"/>
      <c r="H1064" s="16"/>
      <c r="I1064" s="9"/>
      <c r="J1064" s="9"/>
      <c r="K1064" s="9"/>
      <c r="L1064" s="9"/>
      <c r="M1064" s="9"/>
      <c r="N1064" s="9"/>
      <c r="O1064" s="9"/>
      <c r="P1064" s="9"/>
      <c r="Q1064" s="9"/>
      <c r="R1064" s="9"/>
      <c r="S1064" s="9"/>
      <c r="T1064" s="9"/>
    </row>
    <row r="1065" spans="1:20">
      <c r="A1065" s="3"/>
      <c r="B1065" s="3"/>
      <c r="C1065" s="3"/>
      <c r="D1065" s="3"/>
      <c r="E1065" s="9"/>
      <c r="F1065" s="16"/>
      <c r="G1065" s="16"/>
      <c r="H1065" s="16"/>
      <c r="I1065" s="9"/>
      <c r="J1065" s="9"/>
      <c r="K1065" s="9"/>
      <c r="L1065" s="9"/>
      <c r="M1065" s="9"/>
      <c r="N1065" s="9"/>
      <c r="O1065" s="9"/>
      <c r="P1065" s="9"/>
      <c r="Q1065" s="9"/>
      <c r="R1065" s="9"/>
      <c r="S1065" s="9"/>
      <c r="T1065" s="9"/>
    </row>
    <row r="1066" spans="1:20">
      <c r="A1066" s="3"/>
      <c r="B1066" s="3"/>
      <c r="C1066" s="3"/>
      <c r="D1066" s="3"/>
      <c r="E1066" s="9"/>
      <c r="F1066" s="16"/>
      <c r="G1066" s="16"/>
      <c r="H1066" s="16"/>
      <c r="I1066" s="9"/>
      <c r="J1066" s="9"/>
      <c r="K1066" s="9"/>
      <c r="L1066" s="9"/>
      <c r="M1066" s="9"/>
      <c r="N1066" s="9"/>
      <c r="O1066" s="9"/>
      <c r="P1066" s="9"/>
      <c r="Q1066" s="9"/>
      <c r="R1066" s="9"/>
      <c r="S1066" s="9"/>
      <c r="T1066" s="9"/>
    </row>
    <row r="1067" spans="1:20">
      <c r="A1067" s="3"/>
      <c r="B1067" s="3"/>
      <c r="C1067" s="3"/>
      <c r="D1067" s="3"/>
      <c r="E1067" s="9"/>
      <c r="F1067" s="16"/>
      <c r="G1067" s="16"/>
      <c r="H1067" s="16"/>
      <c r="I1067" s="9"/>
      <c r="J1067" s="9"/>
      <c r="K1067" s="9"/>
      <c r="L1067" s="9"/>
      <c r="M1067" s="9"/>
      <c r="N1067" s="9"/>
      <c r="O1067" s="9"/>
      <c r="P1067" s="9"/>
      <c r="Q1067" s="9"/>
      <c r="R1067" s="9"/>
      <c r="S1067" s="9"/>
      <c r="T1067" s="9"/>
    </row>
    <row r="1068" spans="1:20">
      <c r="A1068" s="3"/>
      <c r="B1068" s="3"/>
      <c r="C1068" s="3"/>
      <c r="D1068" s="3"/>
      <c r="E1068" s="9"/>
      <c r="F1068" s="16"/>
      <c r="G1068" s="16"/>
      <c r="H1068" s="16"/>
      <c r="I1068" s="9"/>
      <c r="J1068" s="9"/>
      <c r="K1068" s="9"/>
      <c r="L1068" s="9"/>
      <c r="M1068" s="9"/>
      <c r="N1068" s="9"/>
      <c r="O1068" s="9"/>
      <c r="P1068" s="9"/>
      <c r="Q1068" s="9"/>
      <c r="R1068" s="9"/>
      <c r="S1068" s="9"/>
      <c r="T1068" s="9"/>
    </row>
    <row r="1069" spans="1:20">
      <c r="A1069" s="3"/>
      <c r="B1069" s="3"/>
      <c r="C1069" s="3"/>
      <c r="D1069" s="3"/>
      <c r="E1069" s="9"/>
      <c r="F1069" s="16"/>
      <c r="G1069" s="16"/>
      <c r="H1069" s="16"/>
      <c r="I1069" s="9"/>
      <c r="J1069" s="9"/>
      <c r="K1069" s="9"/>
      <c r="L1069" s="9"/>
      <c r="M1069" s="9"/>
      <c r="N1069" s="9"/>
      <c r="O1069" s="9"/>
      <c r="P1069" s="9"/>
      <c r="Q1069" s="9"/>
      <c r="R1069" s="9"/>
      <c r="S1069" s="9"/>
      <c r="T1069" s="9"/>
    </row>
    <row r="1070" spans="1:20">
      <c r="A1070" s="3"/>
      <c r="B1070" s="3"/>
      <c r="C1070" s="3"/>
      <c r="D1070" s="3"/>
      <c r="E1070" s="9"/>
      <c r="F1070" s="16"/>
      <c r="G1070" s="16"/>
      <c r="H1070" s="16"/>
      <c r="I1070" s="9"/>
      <c r="J1070" s="9"/>
      <c r="K1070" s="9"/>
      <c r="L1070" s="9"/>
      <c r="M1070" s="9"/>
      <c r="N1070" s="9"/>
      <c r="O1070" s="9"/>
      <c r="P1070" s="9"/>
      <c r="Q1070" s="9"/>
      <c r="R1070" s="9"/>
      <c r="S1070" s="9"/>
      <c r="T1070" s="9"/>
    </row>
    <row r="1071" spans="1:20">
      <c r="A1071" s="3"/>
      <c r="B1071" s="3"/>
      <c r="C1071" s="3"/>
      <c r="D1071" s="3"/>
      <c r="E1071" s="9"/>
      <c r="F1071" s="16"/>
      <c r="G1071" s="16"/>
      <c r="H1071" s="16"/>
      <c r="I1071" s="9"/>
      <c r="J1071" s="9"/>
      <c r="K1071" s="9"/>
      <c r="L1071" s="9"/>
      <c r="M1071" s="9"/>
      <c r="N1071" s="9"/>
      <c r="O1071" s="9"/>
      <c r="P1071" s="9"/>
      <c r="Q1071" s="9"/>
      <c r="R1071" s="9"/>
      <c r="S1071" s="9"/>
      <c r="T1071" s="9"/>
    </row>
    <row r="1072" spans="1:20">
      <c r="A1072" s="3"/>
      <c r="B1072" s="3"/>
      <c r="C1072" s="3"/>
      <c r="D1072" s="3"/>
      <c r="E1072" s="9"/>
      <c r="F1072" s="16"/>
      <c r="G1072" s="16"/>
      <c r="H1072" s="16"/>
      <c r="I1072" s="9"/>
      <c r="J1072" s="9"/>
      <c r="K1072" s="9"/>
      <c r="L1072" s="9"/>
      <c r="M1072" s="9"/>
      <c r="N1072" s="9"/>
      <c r="O1072" s="9"/>
      <c r="P1072" s="9"/>
      <c r="Q1072" s="9"/>
      <c r="R1072" s="9"/>
      <c r="S1072" s="9"/>
      <c r="T1072" s="9"/>
    </row>
    <row r="1073" spans="1:20">
      <c r="A1073" s="3"/>
      <c r="B1073" s="3"/>
      <c r="C1073" s="3"/>
      <c r="D1073" s="3"/>
      <c r="E1073" s="9"/>
      <c r="F1073" s="16"/>
      <c r="G1073" s="16"/>
      <c r="H1073" s="16"/>
      <c r="I1073" s="9"/>
      <c r="J1073" s="9"/>
      <c r="K1073" s="9"/>
      <c r="L1073" s="9"/>
      <c r="M1073" s="9"/>
      <c r="N1073" s="9"/>
      <c r="O1073" s="9"/>
      <c r="P1073" s="9"/>
      <c r="Q1073" s="9"/>
      <c r="R1073" s="9"/>
      <c r="S1073" s="9"/>
      <c r="T1073" s="9"/>
    </row>
    <row r="1074" spans="1:20">
      <c r="A1074" s="3"/>
      <c r="B1074" s="3"/>
      <c r="C1074" s="3"/>
      <c r="D1074" s="3"/>
      <c r="E1074" s="9"/>
      <c r="F1074" s="16"/>
      <c r="G1074" s="16"/>
      <c r="H1074" s="16"/>
      <c r="I1074" s="9"/>
      <c r="J1074" s="9"/>
      <c r="K1074" s="9"/>
      <c r="L1074" s="9"/>
      <c r="M1074" s="9"/>
      <c r="N1074" s="9"/>
      <c r="O1074" s="9"/>
      <c r="P1074" s="9"/>
      <c r="Q1074" s="9"/>
      <c r="R1074" s="9"/>
      <c r="S1074" s="9"/>
      <c r="T1074" s="9"/>
    </row>
    <row r="1075" spans="1:20">
      <c r="A1075" s="3"/>
      <c r="B1075" s="3"/>
      <c r="C1075" s="3"/>
      <c r="D1075" s="3"/>
      <c r="E1075" s="9"/>
      <c r="F1075" s="16"/>
      <c r="G1075" s="16"/>
      <c r="H1075" s="16"/>
      <c r="I1075" s="9"/>
      <c r="J1075" s="9"/>
      <c r="K1075" s="9"/>
      <c r="L1075" s="9"/>
      <c r="M1075" s="9"/>
      <c r="N1075" s="9"/>
      <c r="O1075" s="9"/>
      <c r="P1075" s="9"/>
      <c r="Q1075" s="9"/>
      <c r="R1075" s="9"/>
      <c r="S1075" s="9"/>
      <c r="T1075" s="9"/>
    </row>
    <row r="1076" spans="1:20">
      <c r="A1076" s="3"/>
      <c r="B1076" s="3"/>
      <c r="C1076" s="3"/>
      <c r="D1076" s="3"/>
      <c r="E1076" s="9"/>
      <c r="F1076" s="16"/>
      <c r="G1076" s="16"/>
      <c r="H1076" s="16"/>
      <c r="I1076" s="9"/>
      <c r="J1076" s="9"/>
      <c r="K1076" s="9"/>
      <c r="L1076" s="9"/>
      <c r="M1076" s="9"/>
      <c r="N1076" s="9"/>
      <c r="O1076" s="9"/>
      <c r="P1076" s="9"/>
      <c r="Q1076" s="9"/>
      <c r="R1076" s="9"/>
      <c r="S1076" s="9"/>
      <c r="T1076" s="9"/>
    </row>
    <row r="1077" spans="1:20">
      <c r="A1077" s="3"/>
      <c r="B1077" s="3"/>
      <c r="C1077" s="3"/>
      <c r="D1077" s="3"/>
      <c r="E1077" s="9"/>
      <c r="F1077" s="16"/>
      <c r="G1077" s="16"/>
      <c r="H1077" s="16"/>
      <c r="I1077" s="9"/>
      <c r="J1077" s="9"/>
      <c r="K1077" s="9"/>
      <c r="L1077" s="9"/>
      <c r="M1077" s="9"/>
      <c r="N1077" s="9"/>
      <c r="O1077" s="9"/>
      <c r="P1077" s="9"/>
      <c r="Q1077" s="9"/>
      <c r="R1077" s="9"/>
      <c r="S1077" s="9"/>
      <c r="T1077" s="9"/>
    </row>
    <row r="1078" spans="1:20">
      <c r="A1078" s="3"/>
      <c r="B1078" s="3"/>
      <c r="C1078" s="3"/>
      <c r="D1078" s="3"/>
      <c r="E1078" s="9"/>
      <c r="F1078" s="16"/>
      <c r="G1078" s="16"/>
      <c r="H1078" s="16"/>
      <c r="I1078" s="9"/>
      <c r="J1078" s="9"/>
      <c r="K1078" s="9"/>
      <c r="L1078" s="9"/>
      <c r="M1078" s="9"/>
      <c r="N1078" s="9"/>
      <c r="O1078" s="9"/>
      <c r="P1078" s="9"/>
      <c r="Q1078" s="9"/>
      <c r="R1078" s="9"/>
      <c r="S1078" s="9"/>
      <c r="T1078" s="9"/>
    </row>
    <row r="1079" spans="1:20">
      <c r="A1079" s="3"/>
      <c r="B1079" s="3"/>
      <c r="C1079" s="3"/>
      <c r="D1079" s="3"/>
      <c r="E1079" s="9"/>
      <c r="F1079" s="16"/>
      <c r="G1079" s="16"/>
      <c r="H1079" s="16"/>
      <c r="I1079" s="9"/>
      <c r="J1079" s="9"/>
      <c r="K1079" s="9"/>
      <c r="L1079" s="9"/>
      <c r="M1079" s="9"/>
      <c r="N1079" s="9"/>
      <c r="O1079" s="9"/>
      <c r="P1079" s="9"/>
      <c r="Q1079" s="9"/>
      <c r="R1079" s="9"/>
      <c r="S1079" s="9"/>
      <c r="T1079" s="9"/>
    </row>
    <row r="1080" spans="1:20">
      <c r="A1080" s="3"/>
      <c r="B1080" s="3"/>
      <c r="C1080" s="3"/>
      <c r="D1080" s="3"/>
      <c r="E1080" s="9"/>
      <c r="F1080" s="16"/>
      <c r="G1080" s="16"/>
      <c r="H1080" s="16"/>
      <c r="I1080" s="9"/>
      <c r="J1080" s="9"/>
      <c r="K1080" s="9"/>
      <c r="L1080" s="9"/>
      <c r="M1080" s="9"/>
      <c r="N1080" s="9"/>
      <c r="O1080" s="9"/>
      <c r="P1080" s="9"/>
      <c r="Q1080" s="9"/>
      <c r="R1080" s="9"/>
      <c r="S1080" s="9"/>
      <c r="T1080" s="9"/>
    </row>
    <row r="1081" spans="1:20">
      <c r="A1081" s="3"/>
      <c r="B1081" s="3"/>
      <c r="C1081" s="3"/>
      <c r="D1081" s="3"/>
      <c r="E1081" s="9"/>
      <c r="F1081" s="16"/>
      <c r="G1081" s="16"/>
      <c r="H1081" s="16"/>
      <c r="I1081" s="9"/>
      <c r="J1081" s="9"/>
      <c r="K1081" s="9"/>
      <c r="L1081" s="9"/>
      <c r="M1081" s="9"/>
      <c r="N1081" s="9"/>
      <c r="O1081" s="9"/>
      <c r="P1081" s="9"/>
      <c r="Q1081" s="9"/>
      <c r="R1081" s="9"/>
      <c r="S1081" s="9"/>
      <c r="T1081" s="9"/>
    </row>
    <row r="1082" spans="1:20">
      <c r="A1082" s="3"/>
      <c r="B1082" s="3"/>
      <c r="C1082" s="3"/>
      <c r="D1082" s="3"/>
      <c r="E1082" s="9"/>
      <c r="F1082" s="16"/>
      <c r="G1082" s="16"/>
      <c r="H1082" s="16"/>
      <c r="I1082" s="9"/>
      <c r="J1082" s="9"/>
      <c r="K1082" s="9"/>
      <c r="L1082" s="9"/>
      <c r="M1082" s="9"/>
      <c r="N1082" s="9"/>
      <c r="O1082" s="9"/>
      <c r="P1082" s="9"/>
      <c r="Q1082" s="9"/>
      <c r="R1082" s="9"/>
      <c r="S1082" s="9"/>
      <c r="T1082" s="9"/>
    </row>
    <row r="1083" spans="1:20">
      <c r="A1083" s="3"/>
      <c r="B1083" s="3"/>
      <c r="C1083" s="3"/>
      <c r="D1083" s="3"/>
      <c r="E1083" s="9"/>
      <c r="F1083" s="16"/>
      <c r="G1083" s="16"/>
      <c r="H1083" s="16"/>
      <c r="I1083" s="9"/>
      <c r="J1083" s="9"/>
      <c r="K1083" s="9"/>
      <c r="L1083" s="9"/>
      <c r="M1083" s="9"/>
      <c r="N1083" s="9"/>
      <c r="O1083" s="9"/>
      <c r="P1083" s="9"/>
      <c r="Q1083" s="9"/>
      <c r="R1083" s="9"/>
      <c r="S1083" s="9"/>
      <c r="T1083" s="9"/>
    </row>
    <row r="1084" spans="1:20">
      <c r="A1084" s="3"/>
      <c r="B1084" s="3"/>
      <c r="C1084" s="3"/>
      <c r="D1084" s="3"/>
      <c r="E1084" s="9"/>
      <c r="F1084" s="16"/>
      <c r="G1084" s="16"/>
      <c r="H1084" s="16"/>
      <c r="I1084" s="9"/>
      <c r="J1084" s="9"/>
      <c r="K1084" s="9"/>
      <c r="L1084" s="9"/>
      <c r="M1084" s="9"/>
      <c r="N1084" s="9"/>
      <c r="O1084" s="9"/>
      <c r="P1084" s="9"/>
      <c r="Q1084" s="9"/>
      <c r="R1084" s="9"/>
      <c r="S1084" s="9"/>
      <c r="T1084" s="9"/>
    </row>
    <row r="1085" spans="1:20">
      <c r="A1085" s="3"/>
      <c r="B1085" s="3"/>
      <c r="C1085" s="3"/>
      <c r="D1085" s="3"/>
      <c r="E1085" s="9"/>
      <c r="F1085" s="16"/>
      <c r="G1085" s="16"/>
      <c r="H1085" s="16"/>
      <c r="I1085" s="9"/>
      <c r="J1085" s="9"/>
      <c r="K1085" s="9"/>
      <c r="L1085" s="9"/>
      <c r="M1085" s="9"/>
      <c r="N1085" s="9"/>
      <c r="O1085" s="9"/>
      <c r="P1085" s="9"/>
      <c r="Q1085" s="9"/>
      <c r="R1085" s="9"/>
      <c r="S1085" s="9"/>
      <c r="T1085" s="9"/>
    </row>
    <row r="1086" spans="1:20">
      <c r="A1086" s="3"/>
      <c r="B1086" s="3"/>
      <c r="C1086" s="3"/>
      <c r="D1086" s="3"/>
      <c r="E1086" s="9"/>
      <c r="F1086" s="16"/>
      <c r="G1086" s="16"/>
      <c r="H1086" s="16"/>
      <c r="I1086" s="9"/>
      <c r="J1086" s="9"/>
      <c r="K1086" s="9"/>
      <c r="L1086" s="9"/>
      <c r="M1086" s="9"/>
      <c r="N1086" s="9"/>
      <c r="O1086" s="9"/>
      <c r="P1086" s="9"/>
      <c r="Q1086" s="9"/>
      <c r="R1086" s="9"/>
      <c r="S1086" s="9"/>
      <c r="T1086" s="9"/>
    </row>
    <row r="1087" spans="1:20">
      <c r="A1087" s="3"/>
      <c r="B1087" s="3"/>
      <c r="C1087" s="3"/>
      <c r="D1087" s="3"/>
      <c r="E1087" s="9"/>
      <c r="F1087" s="16"/>
      <c r="G1087" s="16"/>
      <c r="H1087" s="16"/>
      <c r="I1087" s="9"/>
      <c r="J1087" s="9"/>
      <c r="K1087" s="9"/>
      <c r="L1087" s="9"/>
      <c r="M1087" s="9"/>
      <c r="N1087" s="9"/>
      <c r="O1087" s="9"/>
      <c r="P1087" s="9"/>
      <c r="Q1087" s="9"/>
      <c r="R1087" s="9"/>
      <c r="S1087" s="9"/>
      <c r="T1087" s="9"/>
    </row>
    <row r="1088" spans="1:20">
      <c r="A1088" s="3"/>
      <c r="B1088" s="3"/>
      <c r="C1088" s="3"/>
      <c r="D1088" s="3"/>
      <c r="E1088" s="9"/>
      <c r="F1088" s="16"/>
      <c r="G1088" s="16"/>
      <c r="H1088" s="16"/>
      <c r="I1088" s="9"/>
      <c r="J1088" s="9"/>
      <c r="K1088" s="9"/>
      <c r="L1088" s="9"/>
      <c r="M1088" s="9"/>
      <c r="N1088" s="9"/>
      <c r="O1088" s="9"/>
      <c r="P1088" s="9"/>
      <c r="Q1088" s="9"/>
      <c r="R1088" s="9"/>
      <c r="S1088" s="9"/>
      <c r="T1088" s="9"/>
    </row>
    <row r="1089" spans="1:20">
      <c r="A1089" s="3"/>
      <c r="B1089" s="3"/>
      <c r="C1089" s="3"/>
      <c r="D1089" s="3"/>
      <c r="E1089" s="9"/>
      <c r="F1089" s="16"/>
      <c r="G1089" s="16"/>
      <c r="H1089" s="16"/>
      <c r="I1089" s="9"/>
      <c r="J1089" s="9"/>
      <c r="K1089" s="9"/>
      <c r="L1089" s="9"/>
      <c r="M1089" s="9"/>
      <c r="N1089" s="9"/>
      <c r="O1089" s="9"/>
      <c r="P1089" s="9"/>
      <c r="Q1089" s="9"/>
      <c r="R1089" s="9"/>
      <c r="S1089" s="9"/>
      <c r="T1089" s="9"/>
    </row>
    <row r="1090" spans="1:20">
      <c r="A1090" s="3"/>
      <c r="B1090" s="3"/>
      <c r="C1090" s="3"/>
      <c r="D1090" s="3"/>
      <c r="E1090" s="9"/>
      <c r="F1090" s="16"/>
      <c r="G1090" s="16"/>
      <c r="H1090" s="16"/>
      <c r="I1090" s="9"/>
      <c r="J1090" s="9"/>
      <c r="K1090" s="9"/>
      <c r="L1090" s="9"/>
      <c r="M1090" s="9"/>
      <c r="N1090" s="9"/>
      <c r="O1090" s="9"/>
      <c r="P1090" s="9"/>
      <c r="Q1090" s="9"/>
      <c r="R1090" s="9"/>
      <c r="S1090" s="9"/>
      <c r="T1090" s="9"/>
    </row>
    <row r="1091" spans="1:20">
      <c r="A1091" s="3"/>
      <c r="B1091" s="3"/>
      <c r="C1091" s="3"/>
      <c r="D1091" s="3"/>
      <c r="E1091" s="9"/>
      <c r="F1091" s="16"/>
      <c r="G1091" s="16"/>
      <c r="H1091" s="16"/>
      <c r="I1091" s="9"/>
      <c r="J1091" s="9"/>
      <c r="K1091" s="9"/>
      <c r="L1091" s="9"/>
      <c r="M1091" s="9"/>
      <c r="N1091" s="9"/>
      <c r="O1091" s="9"/>
      <c r="P1091" s="9"/>
      <c r="Q1091" s="9"/>
      <c r="R1091" s="9"/>
      <c r="S1091" s="9"/>
      <c r="T1091" s="9"/>
    </row>
    <row r="1092" spans="1:20">
      <c r="A1092" s="3"/>
      <c r="B1092" s="3"/>
      <c r="C1092" s="3"/>
      <c r="D1092" s="3"/>
      <c r="E1092" s="9"/>
      <c r="F1092" s="16"/>
      <c r="G1092" s="16"/>
      <c r="H1092" s="16"/>
      <c r="I1092" s="9"/>
      <c r="J1092" s="9"/>
      <c r="K1092" s="9"/>
      <c r="L1092" s="9"/>
      <c r="M1092" s="9"/>
      <c r="N1092" s="9"/>
      <c r="O1092" s="9"/>
      <c r="P1092" s="9"/>
      <c r="Q1092" s="9"/>
      <c r="R1092" s="9"/>
      <c r="S1092" s="9"/>
      <c r="T1092" s="9"/>
    </row>
    <row r="1093" spans="1:20">
      <c r="A1093" s="3"/>
      <c r="B1093" s="3"/>
      <c r="C1093" s="3"/>
      <c r="D1093" s="3"/>
      <c r="E1093" s="9"/>
      <c r="F1093" s="16"/>
      <c r="G1093" s="16"/>
      <c r="H1093" s="16"/>
      <c r="I1093" s="9"/>
      <c r="J1093" s="9"/>
      <c r="K1093" s="9"/>
      <c r="L1093" s="9"/>
      <c r="M1093" s="9"/>
      <c r="N1093" s="9"/>
      <c r="O1093" s="9"/>
      <c r="P1093" s="9"/>
      <c r="Q1093" s="9"/>
      <c r="R1093" s="9"/>
      <c r="S1093" s="9"/>
      <c r="T1093" s="9"/>
    </row>
    <row r="1094" spans="1:20">
      <c r="A1094" s="3"/>
      <c r="B1094" s="3"/>
      <c r="C1094" s="3"/>
      <c r="D1094" s="3"/>
      <c r="E1094" s="9"/>
      <c r="F1094" s="16"/>
      <c r="G1094" s="16"/>
      <c r="H1094" s="16"/>
      <c r="I1094" s="9"/>
      <c r="J1094" s="9"/>
      <c r="K1094" s="9"/>
      <c r="L1094" s="9"/>
      <c r="M1094" s="9"/>
      <c r="N1094" s="9"/>
      <c r="O1094" s="9"/>
      <c r="P1094" s="9"/>
      <c r="Q1094" s="9"/>
      <c r="R1094" s="9"/>
      <c r="S1094" s="9"/>
      <c r="T1094" s="9"/>
    </row>
    <row r="1095" spans="1:20">
      <c r="A1095" s="3"/>
      <c r="B1095" s="3"/>
      <c r="C1095" s="3"/>
      <c r="D1095" s="3"/>
      <c r="E1095" s="9"/>
      <c r="F1095" s="16"/>
      <c r="G1095" s="16"/>
      <c r="H1095" s="16"/>
      <c r="I1095" s="9"/>
      <c r="J1095" s="9"/>
      <c r="K1095" s="9"/>
      <c r="L1095" s="9"/>
      <c r="M1095" s="9"/>
      <c r="N1095" s="9"/>
      <c r="O1095" s="9"/>
      <c r="P1095" s="9"/>
      <c r="Q1095" s="9"/>
      <c r="R1095" s="9"/>
      <c r="S1095" s="9"/>
      <c r="T1095" s="9"/>
    </row>
    <row r="1096" spans="1:20">
      <c r="A1096" s="3"/>
      <c r="B1096" s="3"/>
      <c r="C1096" s="3"/>
      <c r="D1096" s="3"/>
      <c r="E1096" s="9"/>
      <c r="F1096" s="16"/>
      <c r="G1096" s="16"/>
      <c r="H1096" s="16"/>
      <c r="I1096" s="9"/>
      <c r="J1096" s="9"/>
      <c r="K1096" s="9"/>
      <c r="L1096" s="9"/>
      <c r="M1096" s="9"/>
      <c r="N1096" s="9"/>
      <c r="O1096" s="9"/>
      <c r="P1096" s="9"/>
      <c r="Q1096" s="9"/>
      <c r="R1096" s="9"/>
      <c r="S1096" s="9"/>
      <c r="T1096" s="9"/>
    </row>
    <row r="1097" spans="1:20">
      <c r="A1097" s="3"/>
      <c r="B1097" s="3"/>
      <c r="C1097" s="3"/>
      <c r="D1097" s="3"/>
      <c r="E1097" s="9"/>
      <c r="F1097" s="16"/>
      <c r="G1097" s="16"/>
      <c r="H1097" s="16"/>
      <c r="I1097" s="9"/>
      <c r="J1097" s="9"/>
      <c r="K1097" s="9"/>
      <c r="L1097" s="9"/>
      <c r="M1097" s="9"/>
      <c r="N1097" s="9"/>
      <c r="O1097" s="9"/>
      <c r="P1097" s="9"/>
      <c r="Q1097" s="9"/>
      <c r="R1097" s="9"/>
      <c r="S1097" s="9"/>
      <c r="T1097" s="9"/>
    </row>
    <row r="1098" spans="1:20">
      <c r="A1098" s="3"/>
      <c r="B1098" s="3"/>
      <c r="C1098" s="3"/>
      <c r="D1098" s="3"/>
      <c r="E1098" s="9"/>
      <c r="F1098" s="16"/>
      <c r="G1098" s="16"/>
      <c r="H1098" s="16"/>
      <c r="I1098" s="9"/>
      <c r="J1098" s="9"/>
      <c r="K1098" s="9"/>
      <c r="L1098" s="9"/>
      <c r="M1098" s="9"/>
      <c r="N1098" s="9"/>
      <c r="O1098" s="9"/>
      <c r="P1098" s="9"/>
      <c r="Q1098" s="9"/>
      <c r="R1098" s="9"/>
      <c r="S1098" s="9"/>
      <c r="T1098" s="9"/>
    </row>
    <row r="1099" spans="1:20">
      <c r="A1099" s="3"/>
      <c r="B1099" s="3"/>
      <c r="C1099" s="3"/>
      <c r="D1099" s="3"/>
      <c r="E1099" s="9"/>
      <c r="F1099" s="16"/>
      <c r="G1099" s="16"/>
      <c r="H1099" s="16"/>
      <c r="I1099" s="9"/>
      <c r="J1099" s="9"/>
      <c r="K1099" s="9"/>
      <c r="L1099" s="9"/>
      <c r="M1099" s="9"/>
      <c r="N1099" s="9"/>
      <c r="O1099" s="9"/>
      <c r="P1099" s="9"/>
      <c r="Q1099" s="9"/>
      <c r="R1099" s="9"/>
      <c r="S1099" s="9"/>
      <c r="T1099" s="9"/>
    </row>
    <row r="1100" spans="1:20">
      <c r="A1100" s="3"/>
      <c r="B1100" s="3"/>
      <c r="C1100" s="3"/>
      <c r="D1100" s="3"/>
      <c r="E1100" s="9"/>
      <c r="F1100" s="16"/>
      <c r="G1100" s="16"/>
      <c r="H1100" s="16"/>
      <c r="I1100" s="9"/>
      <c r="J1100" s="9"/>
      <c r="K1100" s="9"/>
      <c r="L1100" s="9"/>
      <c r="M1100" s="9"/>
      <c r="N1100" s="9"/>
      <c r="O1100" s="9"/>
      <c r="P1100" s="9"/>
      <c r="Q1100" s="9"/>
      <c r="R1100" s="9"/>
      <c r="S1100" s="9"/>
      <c r="T1100" s="9"/>
    </row>
    <row r="1101" spans="1:20">
      <c r="A1101" s="3"/>
      <c r="B1101" s="3"/>
      <c r="C1101" s="3"/>
      <c r="D1101" s="3"/>
      <c r="E1101" s="9"/>
      <c r="F1101" s="16"/>
      <c r="G1101" s="16"/>
      <c r="H1101" s="16"/>
      <c r="I1101" s="9"/>
      <c r="J1101" s="9"/>
      <c r="K1101" s="9"/>
      <c r="L1101" s="9"/>
      <c r="M1101" s="9"/>
      <c r="N1101" s="9"/>
      <c r="O1101" s="9"/>
      <c r="P1101" s="9"/>
      <c r="Q1101" s="9"/>
      <c r="R1101" s="9"/>
      <c r="S1101" s="9"/>
      <c r="T1101" s="9"/>
    </row>
    <row r="1102" spans="1:20">
      <c r="A1102" s="3"/>
      <c r="B1102" s="3"/>
      <c r="C1102" s="3"/>
      <c r="D1102" s="3"/>
      <c r="E1102" s="9"/>
      <c r="F1102" s="16"/>
      <c r="G1102" s="16"/>
      <c r="H1102" s="16"/>
      <c r="I1102" s="9"/>
      <c r="J1102" s="9"/>
      <c r="K1102" s="9"/>
      <c r="L1102" s="9"/>
      <c r="M1102" s="9"/>
      <c r="N1102" s="9"/>
      <c r="O1102" s="9"/>
      <c r="P1102" s="9"/>
      <c r="Q1102" s="9"/>
      <c r="R1102" s="9"/>
      <c r="S1102" s="9"/>
      <c r="T1102" s="9"/>
    </row>
    <row r="1103" spans="1:20">
      <c r="A1103" s="3"/>
      <c r="B1103" s="3"/>
      <c r="C1103" s="3"/>
      <c r="D1103" s="3"/>
      <c r="E1103" s="9"/>
      <c r="F1103" s="16"/>
      <c r="G1103" s="16"/>
      <c r="H1103" s="16"/>
      <c r="I1103" s="9"/>
      <c r="J1103" s="9"/>
      <c r="K1103" s="9"/>
      <c r="L1103" s="9"/>
      <c r="M1103" s="9"/>
      <c r="N1103" s="9"/>
      <c r="O1103" s="9"/>
      <c r="P1103" s="9"/>
      <c r="Q1103" s="9"/>
      <c r="R1103" s="9"/>
      <c r="S1103" s="9"/>
      <c r="T1103" s="9"/>
    </row>
    <row r="1104" spans="1:20">
      <c r="A1104" s="3"/>
      <c r="B1104" s="3"/>
      <c r="C1104" s="3"/>
      <c r="D1104" s="3"/>
      <c r="E1104" s="9"/>
      <c r="F1104" s="16"/>
      <c r="G1104" s="16"/>
      <c r="H1104" s="16"/>
      <c r="I1104" s="9"/>
      <c r="J1104" s="9"/>
      <c r="K1104" s="9"/>
      <c r="L1104" s="9"/>
      <c r="M1104" s="9"/>
      <c r="N1104" s="9"/>
      <c r="O1104" s="9"/>
      <c r="P1104" s="9"/>
      <c r="Q1104" s="9"/>
      <c r="R1104" s="9"/>
      <c r="S1104" s="9"/>
      <c r="T1104" s="9"/>
    </row>
    <row r="1105" spans="1:20">
      <c r="A1105" s="3"/>
      <c r="B1105" s="3"/>
      <c r="C1105" s="3"/>
      <c r="D1105" s="3"/>
      <c r="E1105" s="9"/>
      <c r="F1105" s="16"/>
      <c r="G1105" s="16"/>
      <c r="H1105" s="16"/>
      <c r="I1105" s="9"/>
      <c r="J1105" s="9"/>
      <c r="K1105" s="9"/>
      <c r="L1105" s="9"/>
      <c r="M1105" s="9"/>
      <c r="N1105" s="9"/>
      <c r="O1105" s="9"/>
      <c r="P1105" s="9"/>
      <c r="Q1105" s="9"/>
      <c r="R1105" s="9"/>
      <c r="S1105" s="9"/>
      <c r="T1105" s="9"/>
    </row>
    <row r="1106" spans="1:20">
      <c r="A1106" s="3"/>
      <c r="B1106" s="3"/>
      <c r="C1106" s="3"/>
      <c r="D1106" s="3"/>
      <c r="E1106" s="9"/>
      <c r="F1106" s="16"/>
      <c r="G1106" s="16"/>
      <c r="H1106" s="16"/>
      <c r="I1106" s="9"/>
      <c r="J1106" s="9"/>
      <c r="K1106" s="9"/>
      <c r="L1106" s="9"/>
      <c r="M1106" s="9"/>
      <c r="N1106" s="9"/>
      <c r="O1106" s="9"/>
      <c r="P1106" s="9"/>
      <c r="Q1106" s="9"/>
      <c r="R1106" s="9"/>
      <c r="S1106" s="9"/>
      <c r="T1106" s="9"/>
    </row>
    <row r="1107" spans="1:20">
      <c r="A1107" s="3"/>
      <c r="B1107" s="3"/>
      <c r="C1107" s="3"/>
      <c r="D1107" s="3"/>
      <c r="E1107" s="9"/>
      <c r="F1107" s="16"/>
      <c r="G1107" s="16"/>
      <c r="H1107" s="16"/>
      <c r="I1107" s="9"/>
      <c r="J1107" s="9"/>
      <c r="K1107" s="9"/>
      <c r="L1107" s="9"/>
      <c r="M1107" s="9"/>
      <c r="N1107" s="9"/>
      <c r="O1107" s="9"/>
      <c r="P1107" s="9"/>
      <c r="Q1107" s="9"/>
      <c r="R1107" s="9"/>
      <c r="S1107" s="9"/>
      <c r="T1107" s="9"/>
    </row>
    <row r="1108" spans="1:20">
      <c r="A1108" s="3"/>
      <c r="B1108" s="3"/>
      <c r="C1108" s="3"/>
      <c r="D1108" s="3"/>
      <c r="E1108" s="9"/>
      <c r="F1108" s="16"/>
      <c r="G1108" s="16"/>
      <c r="H1108" s="16"/>
      <c r="I1108" s="9"/>
      <c r="J1108" s="9"/>
      <c r="K1108" s="9"/>
      <c r="L1108" s="9"/>
      <c r="M1108" s="9"/>
      <c r="N1108" s="9"/>
      <c r="O1108" s="9"/>
      <c r="P1108" s="9"/>
      <c r="Q1108" s="9"/>
      <c r="R1108" s="9"/>
      <c r="S1108" s="9"/>
      <c r="T1108" s="9"/>
    </row>
    <row r="1109" spans="1:20">
      <c r="A1109" s="3"/>
      <c r="B1109" s="3"/>
      <c r="C1109" s="3"/>
      <c r="D1109" s="3"/>
      <c r="E1109" s="9"/>
      <c r="F1109" s="16"/>
      <c r="G1109" s="16"/>
      <c r="H1109" s="16"/>
      <c r="I1109" s="9"/>
      <c r="J1109" s="9"/>
      <c r="K1109" s="9"/>
      <c r="L1109" s="9"/>
      <c r="M1109" s="9"/>
      <c r="N1109" s="9"/>
      <c r="O1109" s="9"/>
      <c r="P1109" s="9"/>
      <c r="Q1109" s="9"/>
      <c r="R1109" s="9"/>
      <c r="S1109" s="9"/>
      <c r="T1109" s="9"/>
    </row>
    <row r="1110" spans="1:20">
      <c r="A1110" s="3"/>
      <c r="B1110" s="3"/>
      <c r="C1110" s="3"/>
      <c r="D1110" s="3"/>
      <c r="E1110" s="9"/>
      <c r="F1110" s="16"/>
      <c r="G1110" s="16"/>
      <c r="H1110" s="16"/>
      <c r="I1110" s="9"/>
      <c r="J1110" s="9"/>
      <c r="K1110" s="9"/>
      <c r="L1110" s="9"/>
      <c r="M1110" s="9"/>
      <c r="N1110" s="9"/>
      <c r="O1110" s="9"/>
      <c r="P1110" s="9"/>
      <c r="Q1110" s="9"/>
      <c r="R1110" s="9"/>
      <c r="S1110" s="9"/>
      <c r="T1110" s="9"/>
    </row>
    <row r="1111" spans="1:20">
      <c r="A1111" s="3"/>
      <c r="B1111" s="3"/>
      <c r="C1111" s="3"/>
      <c r="D1111" s="3"/>
      <c r="E1111" s="9"/>
      <c r="F1111" s="16"/>
      <c r="G1111" s="16"/>
      <c r="H1111" s="16"/>
      <c r="I1111" s="9"/>
      <c r="J1111" s="9"/>
      <c r="K1111" s="9"/>
      <c r="L1111" s="9"/>
      <c r="M1111" s="9"/>
      <c r="N1111" s="9"/>
      <c r="O1111" s="9"/>
      <c r="P1111" s="9"/>
      <c r="Q1111" s="9"/>
      <c r="R1111" s="9"/>
      <c r="S1111" s="9"/>
      <c r="T1111" s="9"/>
    </row>
    <row r="1112" spans="1:20">
      <c r="A1112" s="3"/>
      <c r="B1112" s="3"/>
      <c r="C1112" s="3"/>
      <c r="D1112" s="3"/>
      <c r="E1112" s="9"/>
      <c r="F1112" s="16"/>
      <c r="G1112" s="16"/>
      <c r="H1112" s="16"/>
      <c r="I1112" s="9"/>
      <c r="J1112" s="9"/>
      <c r="K1112" s="9"/>
      <c r="L1112" s="9"/>
      <c r="M1112" s="9"/>
      <c r="N1112" s="9"/>
      <c r="O1112" s="9"/>
      <c r="P1112" s="9"/>
      <c r="Q1112" s="9"/>
      <c r="R1112" s="9"/>
      <c r="S1112" s="9"/>
      <c r="T1112" s="9"/>
    </row>
    <row r="1113" spans="1:20">
      <c r="A1113" s="3"/>
      <c r="B1113" s="3"/>
      <c r="C1113" s="3"/>
      <c r="D1113" s="3"/>
      <c r="E1113" s="9"/>
      <c r="F1113" s="16"/>
      <c r="G1113" s="16"/>
      <c r="H1113" s="16"/>
      <c r="I1113" s="9"/>
      <c r="J1113" s="9"/>
      <c r="K1113" s="9"/>
      <c r="L1113" s="9"/>
      <c r="M1113" s="9"/>
      <c r="N1113" s="9"/>
      <c r="O1113" s="9"/>
      <c r="P1113" s="9"/>
      <c r="Q1113" s="9"/>
      <c r="R1113" s="9"/>
      <c r="S1113" s="9"/>
      <c r="T1113" s="9"/>
    </row>
    <row r="1114" spans="1:20">
      <c r="A1114" s="3"/>
      <c r="B1114" s="3"/>
      <c r="C1114" s="3"/>
      <c r="D1114" s="3"/>
      <c r="E1114" s="9"/>
      <c r="F1114" s="16"/>
      <c r="G1114" s="16"/>
      <c r="H1114" s="16"/>
      <c r="I1114" s="9"/>
      <c r="J1114" s="9"/>
      <c r="K1114" s="9"/>
      <c r="L1114" s="9"/>
      <c r="M1114" s="9"/>
      <c r="N1114" s="9"/>
      <c r="O1114" s="9"/>
      <c r="P1114" s="9"/>
      <c r="Q1114" s="9"/>
      <c r="R1114" s="9"/>
      <c r="S1114" s="9"/>
      <c r="T1114" s="9"/>
    </row>
    <row r="1115" spans="1:20">
      <c r="A1115" s="3"/>
      <c r="B1115" s="3"/>
      <c r="C1115" s="3"/>
      <c r="D1115" s="3"/>
      <c r="E1115" s="9"/>
      <c r="F1115" s="16"/>
      <c r="G1115" s="16"/>
      <c r="H1115" s="16"/>
      <c r="I1115" s="9"/>
      <c r="J1115" s="9"/>
      <c r="K1115" s="9"/>
      <c r="L1115" s="9"/>
      <c r="M1115" s="9"/>
      <c r="N1115" s="9"/>
      <c r="O1115" s="9"/>
      <c r="P1115" s="9"/>
      <c r="Q1115" s="9"/>
      <c r="R1115" s="9"/>
      <c r="S1115" s="9"/>
      <c r="T1115" s="9"/>
    </row>
    <row r="1116" spans="1:20">
      <c r="A1116" s="3"/>
      <c r="B1116" s="3"/>
      <c r="C1116" s="3"/>
      <c r="D1116" s="3"/>
      <c r="E1116" s="9"/>
      <c r="F1116" s="16"/>
      <c r="G1116" s="16"/>
      <c r="H1116" s="16"/>
      <c r="I1116" s="9"/>
      <c r="J1116" s="9"/>
      <c r="K1116" s="9"/>
      <c r="L1116" s="9"/>
      <c r="M1116" s="9"/>
      <c r="N1116" s="9"/>
      <c r="O1116" s="9"/>
      <c r="P1116" s="9"/>
      <c r="Q1116" s="9"/>
      <c r="R1116" s="9"/>
      <c r="S1116" s="9"/>
      <c r="T1116" s="9"/>
    </row>
    <row r="1117" spans="1:20">
      <c r="A1117" s="3"/>
      <c r="B1117" s="3"/>
      <c r="C1117" s="3"/>
      <c r="D1117" s="3"/>
      <c r="E1117" s="9"/>
      <c r="F1117" s="16"/>
      <c r="G1117" s="16"/>
      <c r="H1117" s="16"/>
      <c r="I1117" s="9"/>
      <c r="J1117" s="9"/>
      <c r="K1117" s="9"/>
      <c r="L1117" s="9"/>
      <c r="M1117" s="9"/>
      <c r="N1117" s="9"/>
      <c r="O1117" s="9"/>
      <c r="P1117" s="9"/>
      <c r="Q1117" s="9"/>
      <c r="R1117" s="9"/>
      <c r="S1117" s="9"/>
      <c r="T1117" s="9"/>
    </row>
    <row r="1118" spans="1:20">
      <c r="A1118" s="3"/>
      <c r="B1118" s="3"/>
      <c r="C1118" s="3"/>
      <c r="D1118" s="3"/>
      <c r="E1118" s="9"/>
      <c r="F1118" s="16"/>
      <c r="G1118" s="16"/>
      <c r="H1118" s="16"/>
      <c r="I1118" s="9"/>
      <c r="J1118" s="9"/>
      <c r="K1118" s="9"/>
      <c r="L1118" s="9"/>
      <c r="M1118" s="9"/>
      <c r="N1118" s="9"/>
      <c r="O1118" s="9"/>
      <c r="P1118" s="9"/>
      <c r="Q1118" s="9"/>
      <c r="R1118" s="9"/>
      <c r="S1118" s="9"/>
      <c r="T1118" s="9"/>
    </row>
    <row r="1119" spans="1:20">
      <c r="A1119" s="3"/>
      <c r="B1119" s="3"/>
      <c r="C1119" s="3"/>
      <c r="D1119" s="3"/>
      <c r="E1119" s="9"/>
      <c r="F1119" s="16"/>
      <c r="G1119" s="16"/>
      <c r="H1119" s="16"/>
      <c r="I1119" s="9"/>
      <c r="J1119" s="9"/>
      <c r="K1119" s="9"/>
      <c r="L1119" s="9"/>
      <c r="M1119" s="9"/>
      <c r="N1119" s="9"/>
      <c r="O1119" s="9"/>
      <c r="P1119" s="9"/>
      <c r="Q1119" s="9"/>
      <c r="R1119" s="9"/>
      <c r="S1119" s="9"/>
      <c r="T1119" s="9"/>
    </row>
    <row r="1120" spans="1:20">
      <c r="A1120" s="3"/>
      <c r="B1120" s="3"/>
      <c r="C1120" s="3"/>
      <c r="D1120" s="3"/>
      <c r="E1120" s="9"/>
      <c r="F1120" s="16"/>
      <c r="G1120" s="16"/>
      <c r="H1120" s="16"/>
      <c r="I1120" s="9"/>
      <c r="J1120" s="9"/>
      <c r="K1120" s="9"/>
      <c r="L1120" s="9"/>
      <c r="M1120" s="9"/>
      <c r="N1120" s="9"/>
      <c r="O1120" s="9"/>
      <c r="P1120" s="9"/>
      <c r="Q1120" s="9"/>
      <c r="R1120" s="9"/>
      <c r="S1120" s="9"/>
      <c r="T1120" s="9"/>
    </row>
    <row r="1121" spans="1:20">
      <c r="A1121" s="3"/>
      <c r="B1121" s="3"/>
      <c r="C1121" s="3"/>
      <c r="D1121" s="3"/>
      <c r="E1121" s="9"/>
      <c r="F1121" s="16"/>
      <c r="G1121" s="16"/>
      <c r="H1121" s="16"/>
      <c r="I1121" s="9"/>
      <c r="J1121" s="9"/>
      <c r="K1121" s="9"/>
      <c r="L1121" s="9"/>
      <c r="M1121" s="9"/>
      <c r="N1121" s="9"/>
      <c r="O1121" s="9"/>
      <c r="P1121" s="9"/>
      <c r="Q1121" s="9"/>
      <c r="R1121" s="9"/>
      <c r="S1121" s="9"/>
      <c r="T1121" s="9"/>
    </row>
    <row r="1122" spans="1:20">
      <c r="A1122" s="3"/>
      <c r="B1122" s="3"/>
      <c r="C1122" s="3"/>
      <c r="D1122" s="3"/>
      <c r="E1122" s="9"/>
      <c r="F1122" s="16"/>
      <c r="G1122" s="16"/>
      <c r="H1122" s="16"/>
      <c r="I1122" s="9"/>
      <c r="J1122" s="9"/>
      <c r="K1122" s="9"/>
      <c r="L1122" s="9"/>
      <c r="M1122" s="9"/>
      <c r="N1122" s="9"/>
      <c r="O1122" s="9"/>
      <c r="P1122" s="9"/>
      <c r="Q1122" s="9"/>
      <c r="R1122" s="9"/>
      <c r="S1122" s="9"/>
      <c r="T1122" s="9"/>
    </row>
    <row r="1123" spans="1:20">
      <c r="A1123" s="3"/>
      <c r="B1123" s="3"/>
      <c r="C1123" s="3"/>
      <c r="D1123" s="3"/>
      <c r="E1123" s="9"/>
      <c r="F1123" s="16"/>
      <c r="G1123" s="16"/>
      <c r="H1123" s="16"/>
      <c r="I1123" s="9"/>
      <c r="J1123" s="9"/>
      <c r="K1123" s="9"/>
      <c r="L1123" s="9"/>
      <c r="M1123" s="9"/>
      <c r="N1123" s="9"/>
      <c r="O1123" s="9"/>
      <c r="P1123" s="9"/>
      <c r="Q1123" s="9"/>
      <c r="R1123" s="9"/>
      <c r="S1123" s="9"/>
      <c r="T1123" s="9"/>
    </row>
    <row r="1124" spans="1:20">
      <c r="A1124" s="3"/>
      <c r="B1124" s="3"/>
      <c r="C1124" s="3"/>
      <c r="D1124" s="3"/>
      <c r="E1124" s="9"/>
      <c r="F1124" s="16"/>
      <c r="G1124" s="16"/>
      <c r="H1124" s="16"/>
      <c r="I1124" s="9"/>
      <c r="J1124" s="9"/>
      <c r="K1124" s="9"/>
      <c r="L1124" s="9"/>
      <c r="M1124" s="9"/>
      <c r="N1124" s="9"/>
      <c r="O1124" s="9"/>
      <c r="P1124" s="9"/>
      <c r="Q1124" s="9"/>
      <c r="R1124" s="9"/>
      <c r="S1124" s="9"/>
      <c r="T1124" s="9"/>
    </row>
    <row r="1125" spans="1:20">
      <c r="A1125" s="3"/>
      <c r="B1125" s="3"/>
      <c r="C1125" s="3"/>
      <c r="D1125" s="3"/>
      <c r="E1125" s="9"/>
      <c r="F1125" s="16"/>
      <c r="G1125" s="16"/>
      <c r="H1125" s="16"/>
      <c r="I1125" s="9"/>
      <c r="J1125" s="9"/>
      <c r="K1125" s="9"/>
      <c r="L1125" s="9"/>
      <c r="M1125" s="9"/>
      <c r="N1125" s="9"/>
      <c r="O1125" s="9"/>
      <c r="P1125" s="9"/>
      <c r="Q1125" s="9"/>
      <c r="R1125" s="9"/>
      <c r="S1125" s="9"/>
      <c r="T1125" s="9"/>
    </row>
    <row r="1126" spans="1:20">
      <c r="A1126" s="3"/>
      <c r="B1126" s="3"/>
      <c r="C1126" s="3"/>
      <c r="D1126" s="3"/>
      <c r="E1126" s="9"/>
      <c r="F1126" s="16"/>
      <c r="G1126" s="16"/>
      <c r="H1126" s="16"/>
      <c r="I1126" s="9"/>
      <c r="J1126" s="9"/>
      <c r="K1126" s="9"/>
      <c r="L1126" s="9"/>
      <c r="M1126" s="9"/>
      <c r="N1126" s="9"/>
      <c r="O1126" s="9"/>
      <c r="P1126" s="9"/>
      <c r="Q1126" s="9"/>
      <c r="R1126" s="9"/>
      <c r="S1126" s="9"/>
      <c r="T1126" s="9"/>
    </row>
    <row r="1127" spans="1:20">
      <c r="A1127" s="3"/>
      <c r="B1127" s="3"/>
      <c r="C1127" s="3"/>
      <c r="D1127" s="3"/>
      <c r="E1127" s="9"/>
      <c r="F1127" s="16"/>
      <c r="G1127" s="16"/>
      <c r="H1127" s="16"/>
      <c r="I1127" s="9"/>
      <c r="J1127" s="9"/>
      <c r="K1127" s="9"/>
      <c r="L1127" s="9"/>
      <c r="M1127" s="9"/>
      <c r="N1127" s="9"/>
      <c r="O1127" s="9"/>
      <c r="P1127" s="9"/>
      <c r="Q1127" s="9"/>
      <c r="R1127" s="9"/>
      <c r="S1127" s="9"/>
      <c r="T1127" s="9"/>
    </row>
    <row r="1128" spans="1:20">
      <c r="A1128" s="3"/>
      <c r="B1128" s="3"/>
      <c r="C1128" s="3"/>
      <c r="D1128" s="3"/>
      <c r="E1128" s="9"/>
      <c r="F1128" s="16"/>
      <c r="G1128" s="16"/>
      <c r="H1128" s="16"/>
      <c r="I1128" s="9"/>
      <c r="J1128" s="9"/>
      <c r="K1128" s="9"/>
      <c r="L1128" s="9"/>
      <c r="M1128" s="9"/>
      <c r="N1128" s="9"/>
      <c r="O1128" s="9"/>
      <c r="P1128" s="9"/>
      <c r="Q1128" s="9"/>
      <c r="R1128" s="9"/>
      <c r="S1128" s="9"/>
      <c r="T1128" s="9"/>
    </row>
    <row r="1129" spans="1:20">
      <c r="A1129" s="3"/>
      <c r="B1129" s="3"/>
      <c r="C1129" s="3"/>
      <c r="D1129" s="3"/>
      <c r="E1129" s="9"/>
      <c r="F1129" s="16"/>
      <c r="G1129" s="16"/>
      <c r="H1129" s="16"/>
      <c r="I1129" s="9"/>
      <c r="J1129" s="9"/>
      <c r="K1129" s="9"/>
      <c r="L1129" s="9"/>
      <c r="M1129" s="9"/>
      <c r="N1129" s="9"/>
      <c r="O1129" s="9"/>
      <c r="P1129" s="9"/>
      <c r="Q1129" s="9"/>
      <c r="R1129" s="9"/>
      <c r="S1129" s="9"/>
      <c r="T1129" s="9"/>
    </row>
    <row r="1130" spans="1:20">
      <c r="A1130" s="3"/>
      <c r="B1130" s="3"/>
      <c r="C1130" s="3"/>
      <c r="D1130" s="3"/>
      <c r="E1130" s="9"/>
      <c r="F1130" s="16"/>
      <c r="G1130" s="16"/>
      <c r="H1130" s="16"/>
      <c r="I1130" s="9"/>
      <c r="J1130" s="9"/>
      <c r="K1130" s="9"/>
      <c r="L1130" s="9"/>
      <c r="M1130" s="9"/>
      <c r="N1130" s="9"/>
      <c r="O1130" s="9"/>
      <c r="P1130" s="9"/>
      <c r="Q1130" s="9"/>
      <c r="R1130" s="9"/>
      <c r="S1130" s="9"/>
      <c r="T1130" s="9"/>
    </row>
    <row r="1131" spans="1:20">
      <c r="A1131" s="3"/>
      <c r="B1131" s="3"/>
      <c r="C1131" s="3"/>
      <c r="D1131" s="3"/>
      <c r="E1131" s="9"/>
      <c r="F1131" s="16"/>
      <c r="G1131" s="16"/>
      <c r="H1131" s="16"/>
      <c r="I1131" s="9"/>
      <c r="J1131" s="9"/>
      <c r="K1131" s="9"/>
      <c r="L1131" s="9"/>
      <c r="M1131" s="9"/>
      <c r="N1131" s="9"/>
      <c r="O1131" s="9"/>
      <c r="P1131" s="9"/>
      <c r="Q1131" s="9"/>
      <c r="R1131" s="9"/>
      <c r="S1131" s="9"/>
      <c r="T1131" s="9"/>
    </row>
    <row r="1132" spans="1:20">
      <c r="A1132" s="3"/>
      <c r="B1132" s="3"/>
      <c r="C1132" s="3"/>
      <c r="D1132" s="3"/>
      <c r="E1132" s="9"/>
      <c r="F1132" s="16"/>
      <c r="G1132" s="16"/>
      <c r="H1132" s="16"/>
      <c r="I1132" s="9"/>
      <c r="J1132" s="9"/>
      <c r="K1132" s="9"/>
      <c r="L1132" s="9"/>
      <c r="M1132" s="9"/>
      <c r="N1132" s="9"/>
      <c r="O1132" s="9"/>
      <c r="P1132" s="9"/>
      <c r="Q1132" s="9"/>
      <c r="R1132" s="9"/>
      <c r="S1132" s="9"/>
      <c r="T1132" s="9"/>
    </row>
    <row r="1133" spans="1:20">
      <c r="A1133" s="3"/>
      <c r="B1133" s="3"/>
      <c r="C1133" s="3"/>
      <c r="D1133" s="3"/>
      <c r="E1133" s="9"/>
      <c r="F1133" s="16"/>
      <c r="G1133" s="16"/>
      <c r="H1133" s="16"/>
      <c r="I1133" s="9"/>
      <c r="J1133" s="9"/>
      <c r="K1133" s="9"/>
      <c r="L1133" s="9"/>
      <c r="M1133" s="9"/>
      <c r="N1133" s="9"/>
      <c r="O1133" s="9"/>
      <c r="P1133" s="9"/>
      <c r="Q1133" s="9"/>
      <c r="R1133" s="9"/>
      <c r="S1133" s="9"/>
      <c r="T1133" s="9"/>
    </row>
    <row r="1134" spans="1:20">
      <c r="A1134" s="3"/>
      <c r="B1134" s="3"/>
      <c r="C1134" s="3"/>
      <c r="D1134" s="3"/>
      <c r="E1134" s="9"/>
      <c r="F1134" s="16"/>
      <c r="G1134" s="16"/>
      <c r="H1134" s="16"/>
      <c r="I1134" s="9"/>
      <c r="J1134" s="9"/>
      <c r="K1134" s="9"/>
      <c r="L1134" s="9"/>
      <c r="M1134" s="9"/>
      <c r="N1134" s="9"/>
      <c r="O1134" s="9"/>
      <c r="P1134" s="9"/>
      <c r="Q1134" s="9"/>
      <c r="R1134" s="9"/>
      <c r="S1134" s="9"/>
      <c r="T1134" s="9"/>
    </row>
    <row r="1135" spans="1:20">
      <c r="A1135" s="3"/>
      <c r="B1135" s="3"/>
      <c r="C1135" s="3"/>
      <c r="D1135" s="3"/>
      <c r="E1135" s="9"/>
      <c r="F1135" s="16"/>
      <c r="G1135" s="16"/>
      <c r="H1135" s="16"/>
      <c r="I1135" s="9"/>
      <c r="J1135" s="9"/>
      <c r="K1135" s="9"/>
      <c r="L1135" s="9"/>
      <c r="M1135" s="9"/>
      <c r="N1135" s="9"/>
      <c r="O1135" s="9"/>
      <c r="P1135" s="9"/>
      <c r="Q1135" s="9"/>
      <c r="R1135" s="9"/>
      <c r="S1135" s="9"/>
      <c r="T1135" s="9"/>
    </row>
    <row r="1136" spans="1:20">
      <c r="A1136" s="3"/>
      <c r="B1136" s="3"/>
      <c r="C1136" s="3"/>
      <c r="D1136" s="3"/>
      <c r="E1136" s="9"/>
      <c r="F1136" s="16"/>
      <c r="G1136" s="16"/>
      <c r="H1136" s="16"/>
      <c r="I1136" s="9"/>
      <c r="J1136" s="9"/>
      <c r="K1136" s="9"/>
      <c r="L1136" s="9"/>
      <c r="M1136" s="9"/>
      <c r="N1136" s="9"/>
      <c r="O1136" s="9"/>
      <c r="P1136" s="9"/>
      <c r="Q1136" s="9"/>
      <c r="R1136" s="9"/>
      <c r="S1136" s="9"/>
      <c r="T1136" s="9"/>
    </row>
    <row r="1137" spans="1:20">
      <c r="A1137" s="3"/>
      <c r="B1137" s="3"/>
      <c r="C1137" s="3"/>
      <c r="D1137" s="3"/>
      <c r="E1137" s="9"/>
      <c r="F1137" s="16"/>
      <c r="G1137" s="16"/>
      <c r="H1137" s="16"/>
      <c r="I1137" s="9"/>
      <c r="J1137" s="9"/>
      <c r="K1137" s="9"/>
      <c r="L1137" s="9"/>
      <c r="M1137" s="9"/>
      <c r="N1137" s="9"/>
      <c r="O1137" s="9"/>
      <c r="P1137" s="9"/>
      <c r="Q1137" s="9"/>
      <c r="R1137" s="9"/>
      <c r="S1137" s="9"/>
      <c r="T1137" s="9"/>
    </row>
    <row r="1138" spans="1:20">
      <c r="A1138" s="3"/>
      <c r="B1138" s="3"/>
      <c r="C1138" s="3"/>
      <c r="D1138" s="3"/>
      <c r="E1138" s="9"/>
      <c r="F1138" s="16"/>
      <c r="G1138" s="16"/>
      <c r="H1138" s="16"/>
      <c r="I1138" s="9"/>
      <c r="J1138" s="9"/>
      <c r="K1138" s="9"/>
      <c r="L1138" s="9"/>
      <c r="M1138" s="9"/>
      <c r="N1138" s="9"/>
      <c r="O1138" s="9"/>
      <c r="P1138" s="9"/>
      <c r="Q1138" s="9"/>
      <c r="R1138" s="9"/>
      <c r="S1138" s="9"/>
      <c r="T1138" s="9"/>
    </row>
    <row r="1139" spans="1:20">
      <c r="A1139" s="3"/>
      <c r="B1139" s="3"/>
      <c r="C1139" s="3"/>
      <c r="D1139" s="3"/>
      <c r="E1139" s="9"/>
      <c r="F1139" s="16"/>
      <c r="G1139" s="16"/>
      <c r="H1139" s="16"/>
      <c r="I1139" s="9"/>
      <c r="J1139" s="9"/>
      <c r="K1139" s="9"/>
      <c r="L1139" s="9"/>
      <c r="M1139" s="9"/>
      <c r="N1139" s="9"/>
      <c r="O1139" s="9"/>
      <c r="P1139" s="9"/>
      <c r="Q1139" s="9"/>
      <c r="R1139" s="9"/>
      <c r="S1139" s="9"/>
      <c r="T1139" s="9"/>
    </row>
    <row r="1140" spans="1:20">
      <c r="A1140" s="3"/>
      <c r="B1140" s="3"/>
      <c r="C1140" s="3"/>
      <c r="D1140" s="3"/>
      <c r="E1140" s="9"/>
      <c r="F1140" s="16"/>
      <c r="G1140" s="16"/>
      <c r="H1140" s="16"/>
      <c r="I1140" s="9"/>
      <c r="J1140" s="9"/>
      <c r="K1140" s="9"/>
      <c r="L1140" s="9"/>
      <c r="M1140" s="9"/>
      <c r="N1140" s="9"/>
      <c r="O1140" s="9"/>
      <c r="P1140" s="9"/>
      <c r="Q1140" s="9"/>
      <c r="R1140" s="9"/>
      <c r="S1140" s="9"/>
      <c r="T1140" s="9"/>
    </row>
    <row r="1141" spans="1:20">
      <c r="A1141" s="3"/>
      <c r="B1141" s="3"/>
      <c r="C1141" s="3"/>
      <c r="D1141" s="3"/>
      <c r="E1141" s="9"/>
      <c r="F1141" s="16"/>
      <c r="G1141" s="16"/>
      <c r="H1141" s="16"/>
      <c r="I1141" s="9"/>
      <c r="J1141" s="9"/>
      <c r="K1141" s="9"/>
      <c r="L1141" s="9"/>
      <c r="M1141" s="9"/>
      <c r="N1141" s="9"/>
      <c r="O1141" s="9"/>
      <c r="P1141" s="9"/>
      <c r="Q1141" s="9"/>
      <c r="R1141" s="9"/>
      <c r="S1141" s="9"/>
      <c r="T1141" s="9"/>
    </row>
    <row r="1142" spans="1:20">
      <c r="A1142" s="3"/>
      <c r="B1142" s="3"/>
      <c r="C1142" s="3"/>
      <c r="D1142" s="3"/>
      <c r="E1142" s="9"/>
      <c r="F1142" s="16"/>
      <c r="G1142" s="16"/>
      <c r="H1142" s="16"/>
      <c r="I1142" s="9"/>
      <c r="J1142" s="9"/>
      <c r="K1142" s="9"/>
      <c r="L1142" s="9"/>
      <c r="M1142" s="9"/>
      <c r="N1142" s="9"/>
      <c r="O1142" s="9"/>
      <c r="P1142" s="9"/>
      <c r="Q1142" s="9"/>
      <c r="R1142" s="9"/>
      <c r="S1142" s="9"/>
      <c r="T1142" s="9"/>
    </row>
    <row r="1143" spans="1:20">
      <c r="A1143" s="3"/>
      <c r="B1143" s="3"/>
      <c r="C1143" s="3"/>
      <c r="D1143" s="3"/>
      <c r="E1143" s="9"/>
      <c r="F1143" s="16"/>
      <c r="G1143" s="16"/>
      <c r="H1143" s="16"/>
      <c r="I1143" s="9"/>
      <c r="J1143" s="9"/>
      <c r="K1143" s="9"/>
      <c r="L1143" s="9"/>
      <c r="M1143" s="9"/>
      <c r="N1143" s="9"/>
      <c r="O1143" s="9"/>
      <c r="P1143" s="9"/>
      <c r="Q1143" s="9"/>
      <c r="R1143" s="9"/>
      <c r="S1143" s="9"/>
      <c r="T1143" s="9"/>
    </row>
    <row r="1144" spans="1:20">
      <c r="A1144" s="3"/>
      <c r="B1144" s="3"/>
      <c r="C1144" s="3"/>
      <c r="D1144" s="3"/>
      <c r="E1144" s="9"/>
      <c r="F1144" s="16"/>
      <c r="G1144" s="16"/>
      <c r="H1144" s="16"/>
      <c r="I1144" s="9"/>
      <c r="J1144" s="9"/>
      <c r="K1144" s="9"/>
      <c r="L1144" s="9"/>
      <c r="M1144" s="9"/>
      <c r="N1144" s="9"/>
      <c r="O1144" s="9"/>
      <c r="P1144" s="9"/>
      <c r="Q1144" s="9"/>
      <c r="R1144" s="9"/>
      <c r="S1144" s="9"/>
      <c r="T1144" s="9"/>
    </row>
    <row r="1145" spans="1:20">
      <c r="A1145" s="3"/>
      <c r="B1145" s="3"/>
      <c r="C1145" s="3"/>
      <c r="D1145" s="3"/>
      <c r="E1145" s="9"/>
      <c r="F1145" s="16"/>
      <c r="G1145" s="16"/>
      <c r="H1145" s="16"/>
      <c r="I1145" s="9"/>
      <c r="J1145" s="9"/>
      <c r="K1145" s="9"/>
      <c r="L1145" s="9"/>
      <c r="M1145" s="9"/>
      <c r="N1145" s="9"/>
      <c r="O1145" s="9"/>
      <c r="P1145" s="9"/>
      <c r="Q1145" s="9"/>
      <c r="R1145" s="9"/>
      <c r="S1145" s="9"/>
      <c r="T1145" s="9"/>
    </row>
    <row r="1146" spans="1:20">
      <c r="A1146" s="3"/>
      <c r="B1146" s="3"/>
      <c r="C1146" s="3"/>
      <c r="D1146" s="3"/>
      <c r="E1146" s="9"/>
      <c r="F1146" s="16"/>
      <c r="G1146" s="16"/>
      <c r="H1146" s="16"/>
      <c r="I1146" s="9"/>
      <c r="J1146" s="9"/>
      <c r="K1146" s="9"/>
      <c r="L1146" s="9"/>
      <c r="M1146" s="9"/>
      <c r="N1146" s="9"/>
      <c r="O1146" s="9"/>
      <c r="P1146" s="9"/>
      <c r="Q1146" s="9"/>
      <c r="R1146" s="9"/>
      <c r="S1146" s="9"/>
      <c r="T1146" s="9"/>
    </row>
    <row r="1147" spans="1:20">
      <c r="A1147" s="3"/>
      <c r="B1147" s="3"/>
      <c r="C1147" s="3"/>
      <c r="D1147" s="3"/>
      <c r="E1147" s="9"/>
      <c r="F1147" s="16"/>
      <c r="G1147" s="16"/>
      <c r="H1147" s="16"/>
      <c r="I1147" s="9"/>
      <c r="J1147" s="9"/>
      <c r="K1147" s="9"/>
      <c r="L1147" s="9"/>
      <c r="M1147" s="9"/>
      <c r="N1147" s="9"/>
      <c r="O1147" s="9"/>
      <c r="P1147" s="9"/>
      <c r="Q1147" s="9"/>
      <c r="R1147" s="9"/>
      <c r="S1147" s="9"/>
      <c r="T1147" s="9"/>
    </row>
    <row r="1148" spans="1:20">
      <c r="A1148" s="3"/>
      <c r="B1148" s="3"/>
      <c r="C1148" s="3"/>
      <c r="D1148" s="3"/>
      <c r="E1148" s="9"/>
      <c r="F1148" s="16"/>
      <c r="G1148" s="16"/>
      <c r="H1148" s="16"/>
      <c r="I1148" s="9"/>
      <c r="J1148" s="9"/>
      <c r="K1148" s="9"/>
      <c r="L1148" s="9"/>
      <c r="M1148" s="9"/>
      <c r="N1148" s="9"/>
      <c r="O1148" s="9"/>
      <c r="P1148" s="9"/>
      <c r="Q1148" s="9"/>
      <c r="R1148" s="9"/>
      <c r="S1148" s="9"/>
      <c r="T1148" s="9"/>
    </row>
    <row r="1149" spans="1:20">
      <c r="A1149" s="3"/>
      <c r="B1149" s="3"/>
      <c r="C1149" s="3"/>
      <c r="D1149" s="3"/>
      <c r="E1149" s="9"/>
      <c r="F1149" s="16"/>
      <c r="G1149" s="16"/>
      <c r="H1149" s="16"/>
      <c r="I1149" s="9"/>
      <c r="J1149" s="9"/>
      <c r="K1149" s="9"/>
      <c r="L1149" s="9"/>
      <c r="M1149" s="9"/>
      <c r="N1149" s="9"/>
      <c r="O1149" s="9"/>
      <c r="P1149" s="9"/>
      <c r="Q1149" s="9"/>
      <c r="R1149" s="9"/>
      <c r="S1149" s="9"/>
      <c r="T1149" s="9"/>
    </row>
    <row r="1150" spans="1:20">
      <c r="A1150" s="3"/>
      <c r="B1150" s="3"/>
      <c r="C1150" s="3"/>
      <c r="D1150" s="3"/>
      <c r="E1150" s="9"/>
      <c r="F1150" s="16"/>
      <c r="G1150" s="16"/>
      <c r="H1150" s="16"/>
      <c r="I1150" s="9"/>
      <c r="J1150" s="9"/>
      <c r="K1150" s="9"/>
      <c r="L1150" s="9"/>
      <c r="M1150" s="9"/>
      <c r="N1150" s="9"/>
      <c r="O1150" s="9"/>
      <c r="P1150" s="9"/>
      <c r="Q1150" s="9"/>
      <c r="R1150" s="9"/>
      <c r="S1150" s="9"/>
      <c r="T1150" s="9"/>
    </row>
    <row r="1151" spans="1:20">
      <c r="A1151" s="3"/>
      <c r="B1151" s="3"/>
      <c r="C1151" s="3"/>
      <c r="D1151" s="3"/>
      <c r="E1151" s="9"/>
      <c r="F1151" s="16"/>
      <c r="G1151" s="16"/>
      <c r="H1151" s="16"/>
      <c r="I1151" s="9"/>
      <c r="J1151" s="9"/>
      <c r="K1151" s="9"/>
      <c r="L1151" s="9"/>
      <c r="M1151" s="9"/>
      <c r="N1151" s="9"/>
      <c r="O1151" s="9"/>
      <c r="P1151" s="9"/>
      <c r="Q1151" s="9"/>
      <c r="R1151" s="9"/>
      <c r="S1151" s="9"/>
      <c r="T1151" s="9"/>
    </row>
    <row r="1152" spans="1:20">
      <c r="A1152" s="3"/>
      <c r="B1152" s="3"/>
      <c r="C1152" s="3"/>
      <c r="D1152" s="3"/>
      <c r="E1152" s="9"/>
      <c r="F1152" s="16"/>
      <c r="G1152" s="16"/>
      <c r="H1152" s="16"/>
      <c r="I1152" s="9"/>
      <c r="J1152" s="9"/>
      <c r="K1152" s="9"/>
      <c r="L1152" s="9"/>
      <c r="M1152" s="9"/>
      <c r="N1152" s="9"/>
      <c r="O1152" s="9"/>
      <c r="P1152" s="9"/>
      <c r="Q1152" s="9"/>
      <c r="R1152" s="9"/>
      <c r="S1152" s="9"/>
      <c r="T1152" s="9"/>
    </row>
    <row r="1153" spans="1:20">
      <c r="A1153" s="3"/>
      <c r="B1153" s="3"/>
      <c r="C1153" s="3"/>
      <c r="D1153" s="3"/>
      <c r="E1153" s="9"/>
      <c r="F1153" s="16"/>
      <c r="G1153" s="16"/>
      <c r="H1153" s="16"/>
      <c r="I1153" s="9"/>
      <c r="J1153" s="9"/>
      <c r="K1153" s="9"/>
      <c r="L1153" s="9"/>
      <c r="M1153" s="9"/>
      <c r="N1153" s="9"/>
      <c r="O1153" s="9"/>
      <c r="P1153" s="9"/>
      <c r="Q1153" s="9"/>
      <c r="R1153" s="9"/>
      <c r="S1153" s="9"/>
      <c r="T1153" s="9"/>
    </row>
    <row r="1154" spans="1:20">
      <c r="A1154" s="3"/>
      <c r="B1154" s="3"/>
      <c r="C1154" s="3"/>
      <c r="D1154" s="3"/>
      <c r="E1154" s="9"/>
      <c r="F1154" s="16"/>
      <c r="G1154" s="16"/>
      <c r="H1154" s="16"/>
      <c r="I1154" s="9"/>
      <c r="J1154" s="9"/>
      <c r="K1154" s="9"/>
      <c r="L1154" s="9"/>
      <c r="M1154" s="9"/>
      <c r="N1154" s="9"/>
      <c r="O1154" s="9"/>
      <c r="P1154" s="9"/>
      <c r="Q1154" s="9"/>
      <c r="R1154" s="9"/>
      <c r="S1154" s="9"/>
      <c r="T1154" s="9"/>
    </row>
    <row r="1155" spans="1:20">
      <c r="A1155" s="3"/>
      <c r="B1155" s="3"/>
      <c r="C1155" s="3"/>
      <c r="D1155" s="3"/>
      <c r="E1155" s="9"/>
      <c r="F1155" s="16"/>
      <c r="G1155" s="16"/>
      <c r="H1155" s="16"/>
      <c r="I1155" s="9"/>
      <c r="J1155" s="9"/>
      <c r="K1155" s="9"/>
      <c r="L1155" s="9"/>
      <c r="M1155" s="9"/>
      <c r="N1155" s="9"/>
      <c r="O1155" s="9"/>
      <c r="P1155" s="9"/>
      <c r="Q1155" s="9"/>
      <c r="R1155" s="9"/>
      <c r="S1155" s="9"/>
      <c r="T1155" s="9"/>
    </row>
    <row r="1156" spans="1:20">
      <c r="A1156" s="3"/>
      <c r="B1156" s="3"/>
      <c r="C1156" s="3"/>
      <c r="D1156" s="3"/>
      <c r="E1156" s="9"/>
      <c r="F1156" s="16"/>
      <c r="G1156" s="16"/>
      <c r="H1156" s="16"/>
      <c r="I1156" s="9"/>
      <c r="J1156" s="9"/>
      <c r="K1156" s="9"/>
      <c r="L1156" s="9"/>
      <c r="M1156" s="9"/>
      <c r="N1156" s="9"/>
      <c r="O1156" s="9"/>
      <c r="P1156" s="9"/>
      <c r="Q1156" s="9"/>
      <c r="R1156" s="9"/>
      <c r="S1156" s="9"/>
      <c r="T1156" s="9"/>
    </row>
    <row r="1157" spans="1:20">
      <c r="A1157" s="3"/>
      <c r="B1157" s="3"/>
      <c r="C1157" s="3"/>
      <c r="D1157" s="3"/>
      <c r="E1157" s="9"/>
      <c r="F1157" s="16"/>
      <c r="G1157" s="16"/>
      <c r="H1157" s="16"/>
      <c r="I1157" s="9"/>
      <c r="J1157" s="9"/>
      <c r="K1157" s="9"/>
      <c r="L1157" s="9"/>
      <c r="M1157" s="9"/>
      <c r="N1157" s="9"/>
      <c r="O1157" s="9"/>
      <c r="P1157" s="9"/>
      <c r="Q1157" s="9"/>
      <c r="R1157" s="9"/>
      <c r="S1157" s="9"/>
      <c r="T1157" s="9"/>
    </row>
    <row r="1158" spans="1:20">
      <c r="A1158" s="3"/>
      <c r="B1158" s="3"/>
      <c r="C1158" s="3"/>
      <c r="D1158" s="3"/>
      <c r="E1158" s="9"/>
      <c r="F1158" s="16"/>
      <c r="G1158" s="16"/>
      <c r="H1158" s="16"/>
      <c r="I1158" s="9"/>
      <c r="J1158" s="9"/>
      <c r="K1158" s="9"/>
      <c r="L1158" s="9"/>
      <c r="M1158" s="9"/>
      <c r="N1158" s="9"/>
      <c r="O1158" s="9"/>
      <c r="P1158" s="9"/>
      <c r="Q1158" s="9"/>
      <c r="R1158" s="9"/>
      <c r="S1158" s="9"/>
      <c r="T1158" s="9"/>
    </row>
    <row r="1159" spans="1:20">
      <c r="A1159" s="3"/>
      <c r="B1159" s="3"/>
      <c r="C1159" s="3"/>
      <c r="D1159" s="3"/>
      <c r="E1159" s="9"/>
      <c r="F1159" s="16"/>
      <c r="G1159" s="16"/>
      <c r="H1159" s="16"/>
      <c r="I1159" s="9"/>
      <c r="J1159" s="9"/>
      <c r="K1159" s="9"/>
      <c r="L1159" s="9"/>
      <c r="M1159" s="9"/>
      <c r="N1159" s="9"/>
      <c r="O1159" s="9"/>
      <c r="P1159" s="9"/>
      <c r="Q1159" s="9"/>
      <c r="R1159" s="9"/>
      <c r="S1159" s="9"/>
      <c r="T1159" s="9"/>
    </row>
    <row r="1160" spans="1:20">
      <c r="A1160" s="3"/>
      <c r="B1160" s="3"/>
      <c r="C1160" s="3"/>
      <c r="D1160" s="3"/>
      <c r="E1160" s="9"/>
      <c r="F1160" s="16"/>
      <c r="G1160" s="16"/>
      <c r="H1160" s="16"/>
      <c r="I1160" s="9"/>
      <c r="J1160" s="9"/>
      <c r="K1160" s="9"/>
      <c r="L1160" s="9"/>
      <c r="M1160" s="9"/>
      <c r="N1160" s="9"/>
      <c r="O1160" s="9"/>
      <c r="P1160" s="9"/>
      <c r="Q1160" s="9"/>
      <c r="R1160" s="9"/>
      <c r="S1160" s="9"/>
      <c r="T1160" s="9"/>
    </row>
    <row r="1161" spans="1:20">
      <c r="A1161" s="3"/>
      <c r="B1161" s="3"/>
      <c r="C1161" s="3"/>
      <c r="D1161" s="3"/>
      <c r="E1161" s="9"/>
      <c r="F1161" s="16"/>
      <c r="G1161" s="16"/>
      <c r="H1161" s="16"/>
      <c r="I1161" s="9"/>
      <c r="J1161" s="9"/>
      <c r="K1161" s="9"/>
      <c r="L1161" s="9"/>
      <c r="M1161" s="9"/>
      <c r="N1161" s="9"/>
      <c r="O1161" s="9"/>
      <c r="P1161" s="9"/>
      <c r="Q1161" s="9"/>
      <c r="R1161" s="9"/>
      <c r="S1161" s="9"/>
      <c r="T1161" s="9"/>
    </row>
    <row r="1162" spans="1:20">
      <c r="A1162" s="3"/>
      <c r="B1162" s="3"/>
      <c r="C1162" s="3"/>
      <c r="D1162" s="3"/>
      <c r="E1162" s="9"/>
      <c r="F1162" s="16"/>
      <c r="G1162" s="16"/>
      <c r="H1162" s="16"/>
      <c r="I1162" s="9"/>
      <c r="J1162" s="9"/>
      <c r="K1162" s="9"/>
      <c r="L1162" s="9"/>
      <c r="M1162" s="9"/>
      <c r="N1162" s="9"/>
      <c r="O1162" s="9"/>
      <c r="P1162" s="9"/>
      <c r="Q1162" s="9"/>
      <c r="R1162" s="9"/>
      <c r="S1162" s="9"/>
      <c r="T1162" s="9"/>
    </row>
    <row r="1163" spans="1:20">
      <c r="A1163" s="3"/>
      <c r="B1163" s="3"/>
      <c r="C1163" s="3"/>
      <c r="D1163" s="3"/>
      <c r="E1163" s="9"/>
      <c r="F1163" s="16"/>
      <c r="G1163" s="16"/>
      <c r="H1163" s="16"/>
      <c r="I1163" s="9"/>
      <c r="J1163" s="9"/>
      <c r="K1163" s="9"/>
      <c r="L1163" s="9"/>
      <c r="M1163" s="9"/>
      <c r="N1163" s="9"/>
      <c r="O1163" s="9"/>
      <c r="P1163" s="9"/>
      <c r="Q1163" s="9"/>
      <c r="R1163" s="9"/>
      <c r="S1163" s="9"/>
      <c r="T1163" s="9"/>
    </row>
    <row r="1164" spans="1:20">
      <c r="A1164" s="3"/>
      <c r="B1164" s="3"/>
      <c r="C1164" s="3"/>
      <c r="D1164" s="3"/>
      <c r="E1164" s="9"/>
      <c r="F1164" s="16"/>
      <c r="G1164" s="16"/>
      <c r="H1164" s="16"/>
      <c r="I1164" s="9"/>
      <c r="J1164" s="9"/>
      <c r="K1164" s="9"/>
      <c r="L1164" s="9"/>
      <c r="M1164" s="9"/>
      <c r="N1164" s="9"/>
      <c r="O1164" s="9"/>
      <c r="P1164" s="9"/>
      <c r="Q1164" s="9"/>
      <c r="R1164" s="9"/>
      <c r="S1164" s="9"/>
      <c r="T1164" s="9"/>
    </row>
    <row r="1165" spans="1:20">
      <c r="A1165" s="3"/>
      <c r="B1165" s="3"/>
      <c r="C1165" s="3"/>
      <c r="D1165" s="3"/>
      <c r="E1165" s="9"/>
      <c r="F1165" s="16"/>
      <c r="G1165" s="16"/>
      <c r="H1165" s="16"/>
      <c r="I1165" s="9"/>
      <c r="J1165" s="9"/>
      <c r="K1165" s="9"/>
      <c r="L1165" s="9"/>
      <c r="M1165" s="9"/>
      <c r="N1165" s="9"/>
      <c r="O1165" s="9"/>
      <c r="P1165" s="9"/>
      <c r="Q1165" s="9"/>
      <c r="R1165" s="9"/>
      <c r="S1165" s="9"/>
      <c r="T1165" s="9"/>
    </row>
    <row r="1166" spans="1:20">
      <c r="A1166" s="3"/>
      <c r="B1166" s="3"/>
      <c r="C1166" s="3"/>
      <c r="D1166" s="3"/>
      <c r="E1166" s="9"/>
      <c r="F1166" s="16"/>
      <c r="G1166" s="16"/>
      <c r="H1166" s="16"/>
      <c r="I1166" s="9"/>
      <c r="J1166" s="9"/>
      <c r="K1166" s="9"/>
      <c r="L1166" s="9"/>
      <c r="M1166" s="9"/>
      <c r="N1166" s="9"/>
      <c r="O1166" s="9"/>
      <c r="P1166" s="9"/>
      <c r="Q1166" s="9"/>
      <c r="R1166" s="9"/>
      <c r="S1166" s="9"/>
      <c r="T1166" s="9"/>
    </row>
    <row r="1167" spans="1:20">
      <c r="A1167" s="3"/>
      <c r="B1167" s="3"/>
      <c r="C1167" s="3"/>
      <c r="D1167" s="3"/>
      <c r="E1167" s="9"/>
      <c r="F1167" s="16"/>
      <c r="G1167" s="16"/>
      <c r="H1167" s="16"/>
      <c r="I1167" s="9"/>
      <c r="J1167" s="9"/>
      <c r="K1167" s="9"/>
      <c r="L1167" s="9"/>
      <c r="M1167" s="9"/>
      <c r="N1167" s="9"/>
      <c r="O1167" s="9"/>
      <c r="P1167" s="9"/>
      <c r="Q1167" s="9"/>
      <c r="R1167" s="9"/>
      <c r="S1167" s="9"/>
      <c r="T1167" s="9"/>
    </row>
    <row r="1168" spans="1:20">
      <c r="A1168" s="3"/>
      <c r="B1168" s="3"/>
      <c r="C1168" s="3"/>
      <c r="D1168" s="3"/>
      <c r="E1168" s="9"/>
      <c r="F1168" s="16"/>
      <c r="G1168" s="16"/>
      <c r="H1168" s="16"/>
      <c r="I1168" s="9"/>
      <c r="J1168" s="9"/>
      <c r="K1168" s="9"/>
      <c r="L1168" s="9"/>
      <c r="M1168" s="9"/>
      <c r="N1168" s="9"/>
      <c r="O1168" s="9"/>
      <c r="P1168" s="9"/>
      <c r="Q1168" s="9"/>
      <c r="R1168" s="9"/>
      <c r="S1168" s="9"/>
      <c r="T1168" s="9"/>
    </row>
    <row r="1169" spans="1:20">
      <c r="A1169" s="3"/>
      <c r="B1169" s="3"/>
      <c r="C1169" s="3"/>
      <c r="D1169" s="3"/>
      <c r="E1169" s="9"/>
      <c r="F1169" s="16"/>
      <c r="G1169" s="16"/>
      <c r="H1169" s="16"/>
      <c r="I1169" s="9"/>
      <c r="J1169" s="9"/>
      <c r="K1169" s="9"/>
      <c r="L1169" s="9"/>
      <c r="M1169" s="9"/>
      <c r="N1169" s="9"/>
      <c r="O1169" s="9"/>
      <c r="P1169" s="9"/>
      <c r="Q1169" s="9"/>
      <c r="R1169" s="9"/>
      <c r="S1169" s="9"/>
      <c r="T1169" s="9"/>
    </row>
    <row r="1170" spans="1:20">
      <c r="A1170" s="3"/>
      <c r="B1170" s="3"/>
      <c r="C1170" s="3"/>
      <c r="D1170" s="3"/>
      <c r="E1170" s="9"/>
      <c r="F1170" s="16"/>
      <c r="G1170" s="16"/>
      <c r="H1170" s="16"/>
      <c r="I1170" s="9"/>
      <c r="J1170" s="9"/>
      <c r="K1170" s="9"/>
      <c r="L1170" s="9"/>
      <c r="M1170" s="9"/>
      <c r="N1170" s="9"/>
      <c r="O1170" s="9"/>
      <c r="P1170" s="9"/>
      <c r="Q1170" s="9"/>
      <c r="R1170" s="9"/>
      <c r="S1170" s="9"/>
      <c r="T1170" s="9"/>
    </row>
    <row r="1171" spans="1:20">
      <c r="A1171" s="3"/>
      <c r="B1171" s="3"/>
      <c r="C1171" s="3"/>
      <c r="D1171" s="3"/>
      <c r="E1171" s="9"/>
      <c r="F1171" s="16"/>
      <c r="G1171" s="16"/>
      <c r="H1171" s="16"/>
      <c r="I1171" s="9"/>
      <c r="J1171" s="9"/>
      <c r="K1171" s="9"/>
      <c r="L1171" s="9"/>
      <c r="M1171" s="9"/>
      <c r="N1171" s="9"/>
      <c r="O1171" s="9"/>
      <c r="P1171" s="9"/>
      <c r="Q1171" s="9"/>
      <c r="R1171" s="9"/>
      <c r="S1171" s="9"/>
      <c r="T1171" s="9"/>
    </row>
    <row r="1172" spans="1:20">
      <c r="A1172" s="3"/>
      <c r="B1172" s="3"/>
      <c r="C1172" s="3"/>
      <c r="D1172" s="3"/>
      <c r="E1172" s="9"/>
      <c r="F1172" s="16"/>
      <c r="G1172" s="16"/>
      <c r="H1172" s="16"/>
      <c r="I1172" s="9"/>
      <c r="J1172" s="9"/>
      <c r="K1172" s="9"/>
      <c r="L1172" s="9"/>
      <c r="M1172" s="9"/>
      <c r="N1172" s="9"/>
      <c r="O1172" s="9"/>
      <c r="P1172" s="9"/>
      <c r="Q1172" s="9"/>
      <c r="R1172" s="9"/>
      <c r="S1172" s="9"/>
      <c r="T1172" s="9"/>
    </row>
    <row r="1173" spans="1:20">
      <c r="A1173" s="3"/>
      <c r="B1173" s="3"/>
      <c r="C1173" s="3"/>
      <c r="D1173" s="3"/>
      <c r="E1173" s="16"/>
      <c r="F1173" s="16"/>
      <c r="G1173" s="16"/>
      <c r="H1173" s="16"/>
      <c r="I1173" s="9"/>
      <c r="J1173" s="9"/>
      <c r="K1173" s="9"/>
      <c r="L1173" s="9"/>
      <c r="M1173" s="9"/>
      <c r="N1173" s="9"/>
      <c r="O1173" s="46"/>
      <c r="P1173" s="42"/>
      <c r="Q1173" s="42"/>
      <c r="R1173" s="50"/>
      <c r="S1173" s="42"/>
      <c r="T1173" s="42"/>
    </row>
    <row r="1174" spans="1:20">
      <c r="A1174" s="3"/>
      <c r="B1174" s="3"/>
      <c r="C1174" s="3"/>
      <c r="D1174" s="3"/>
      <c r="E1174" s="16"/>
      <c r="F1174" s="16"/>
      <c r="G1174" s="16"/>
      <c r="H1174" s="16"/>
      <c r="I1174" s="9"/>
      <c r="J1174" s="9"/>
      <c r="K1174" s="9"/>
      <c r="L1174" s="9"/>
      <c r="M1174" s="9"/>
      <c r="N1174" s="9"/>
      <c r="O1174" s="46"/>
      <c r="P1174" s="42"/>
      <c r="Q1174" s="42"/>
      <c r="R1174" s="50"/>
      <c r="S1174" s="42"/>
      <c r="T1174" s="42"/>
    </row>
    <row r="1175" spans="1:20">
      <c r="A1175" s="3"/>
      <c r="B1175" s="3"/>
      <c r="C1175" s="3"/>
      <c r="D1175" s="3"/>
      <c r="E1175" s="16"/>
      <c r="F1175" s="16"/>
      <c r="G1175" s="16"/>
      <c r="H1175" s="16"/>
      <c r="I1175" s="9"/>
      <c r="J1175" s="9"/>
      <c r="K1175" s="9"/>
      <c r="L1175" s="9"/>
      <c r="M1175" s="9"/>
      <c r="N1175" s="9"/>
      <c r="O1175" s="46"/>
      <c r="P1175" s="42"/>
      <c r="Q1175" s="42"/>
      <c r="R1175" s="50"/>
      <c r="S1175" s="42"/>
      <c r="T1175" s="42"/>
    </row>
    <row r="1176" spans="1:20">
      <c r="A1176" s="3"/>
      <c r="B1176" s="3"/>
      <c r="C1176" s="3"/>
      <c r="D1176" s="3"/>
      <c r="E1176" s="16"/>
      <c r="F1176" s="16"/>
      <c r="G1176" s="16"/>
      <c r="H1176" s="16"/>
      <c r="I1176" s="9"/>
      <c r="J1176" s="9"/>
      <c r="K1176" s="9"/>
      <c r="L1176" s="9"/>
      <c r="M1176" s="9"/>
      <c r="N1176" s="9"/>
      <c r="O1176" s="46"/>
      <c r="P1176" s="42"/>
      <c r="Q1176" s="42"/>
      <c r="R1176" s="50"/>
      <c r="S1176" s="42"/>
      <c r="T1176" s="42"/>
    </row>
    <row r="1177" spans="1:20">
      <c r="A1177" s="3"/>
      <c r="B1177" s="3"/>
      <c r="C1177" s="3"/>
      <c r="D1177" s="3"/>
      <c r="E1177" s="16"/>
      <c r="F1177" s="16"/>
      <c r="G1177" s="16"/>
      <c r="H1177" s="16"/>
      <c r="I1177" s="9"/>
      <c r="J1177" s="9"/>
      <c r="K1177" s="9"/>
      <c r="L1177" s="9"/>
      <c r="M1177" s="9"/>
      <c r="N1177" s="9"/>
      <c r="O1177" s="46"/>
      <c r="P1177" s="42"/>
      <c r="Q1177" s="42"/>
      <c r="R1177" s="50"/>
      <c r="S1177" s="42"/>
      <c r="T1177" s="42"/>
    </row>
    <row r="1178" spans="1:20">
      <c r="A1178" s="3"/>
      <c r="B1178" s="3"/>
      <c r="C1178" s="3"/>
      <c r="D1178" s="3"/>
      <c r="E1178" s="16"/>
      <c r="F1178" s="16"/>
      <c r="G1178" s="16"/>
      <c r="H1178" s="16"/>
      <c r="I1178" s="9"/>
      <c r="J1178" s="9"/>
      <c r="K1178" s="9"/>
      <c r="L1178" s="9"/>
      <c r="M1178" s="9"/>
      <c r="N1178" s="9"/>
      <c r="O1178" s="46"/>
      <c r="P1178" s="42"/>
      <c r="Q1178" s="42"/>
      <c r="R1178" s="50"/>
      <c r="S1178" s="42"/>
      <c r="T1178" s="42"/>
    </row>
    <row r="1179" spans="1:20">
      <c r="A1179" s="3"/>
      <c r="B1179" s="3"/>
      <c r="C1179" s="3"/>
      <c r="D1179" s="3"/>
      <c r="E1179" s="16"/>
      <c r="F1179" s="16"/>
      <c r="G1179" s="16"/>
      <c r="H1179" s="16"/>
      <c r="I1179" s="9"/>
      <c r="J1179" s="9"/>
      <c r="K1179" s="9"/>
      <c r="L1179" s="9"/>
      <c r="M1179" s="9"/>
      <c r="N1179" s="9"/>
      <c r="O1179" s="46"/>
      <c r="P1179" s="42"/>
      <c r="Q1179" s="42"/>
      <c r="R1179" s="50"/>
      <c r="S1179" s="42"/>
      <c r="T1179" s="42"/>
    </row>
    <row r="1180" spans="1:20">
      <c r="A1180" s="3"/>
      <c r="B1180" s="3"/>
      <c r="C1180" s="3"/>
      <c r="D1180" s="3"/>
      <c r="E1180" s="16"/>
      <c r="F1180" s="16"/>
      <c r="G1180" s="16"/>
      <c r="H1180" s="16"/>
      <c r="I1180" s="9"/>
      <c r="J1180" s="9"/>
      <c r="K1180" s="9"/>
      <c r="L1180" s="9"/>
      <c r="M1180" s="9"/>
      <c r="N1180" s="9"/>
      <c r="O1180" s="46"/>
      <c r="P1180" s="42"/>
      <c r="Q1180" s="42"/>
      <c r="R1180" s="50"/>
      <c r="S1180" s="42"/>
      <c r="T1180" s="42"/>
    </row>
    <row r="1181" spans="1:20">
      <c r="A1181" s="3"/>
      <c r="B1181" s="3"/>
      <c r="C1181" s="3"/>
      <c r="D1181" s="3"/>
      <c r="E1181" s="16"/>
      <c r="F1181" s="16"/>
      <c r="G1181" s="16"/>
      <c r="H1181" s="16"/>
      <c r="I1181" s="9"/>
      <c r="J1181" s="9"/>
      <c r="K1181" s="9"/>
      <c r="L1181" s="9"/>
      <c r="M1181" s="9"/>
      <c r="N1181" s="9"/>
      <c r="O1181" s="46"/>
      <c r="P1181" s="42"/>
      <c r="Q1181" s="42"/>
      <c r="R1181" s="50"/>
      <c r="S1181" s="42"/>
      <c r="T1181" s="42"/>
    </row>
    <row r="1182" spans="1:20">
      <c r="A1182" s="3"/>
      <c r="B1182" s="3"/>
      <c r="C1182" s="3"/>
      <c r="D1182" s="3"/>
      <c r="E1182" s="16"/>
      <c r="F1182" s="16"/>
      <c r="G1182" s="16"/>
      <c r="H1182" s="16"/>
      <c r="I1182" s="9"/>
      <c r="J1182" s="9"/>
      <c r="K1182" s="9"/>
      <c r="L1182" s="9"/>
      <c r="M1182" s="9"/>
      <c r="N1182" s="9"/>
      <c r="O1182" s="46"/>
      <c r="P1182" s="42"/>
      <c r="Q1182" s="42"/>
      <c r="R1182" s="50"/>
      <c r="S1182" s="42"/>
      <c r="T1182" s="42"/>
    </row>
    <row r="1183" spans="1:20">
      <c r="A1183" s="3"/>
      <c r="B1183" s="3"/>
      <c r="C1183" s="3"/>
      <c r="D1183" s="3"/>
      <c r="E1183" s="16"/>
      <c r="F1183" s="16"/>
      <c r="G1183" s="16"/>
      <c r="H1183" s="16"/>
      <c r="I1183" s="9"/>
      <c r="J1183" s="9"/>
      <c r="K1183" s="9"/>
      <c r="L1183" s="9"/>
      <c r="M1183" s="9"/>
      <c r="N1183" s="9"/>
      <c r="O1183" s="46"/>
      <c r="P1183" s="42"/>
      <c r="Q1183" s="42"/>
      <c r="R1183" s="50"/>
      <c r="S1183" s="42"/>
      <c r="T1183" s="42"/>
    </row>
    <row r="1184" spans="1:20">
      <c r="A1184" s="3"/>
      <c r="B1184" s="3"/>
      <c r="C1184" s="3"/>
      <c r="D1184" s="3"/>
      <c r="E1184" s="16"/>
      <c r="F1184" s="16"/>
      <c r="G1184" s="16"/>
      <c r="H1184" s="16"/>
      <c r="I1184" s="9"/>
      <c r="J1184" s="9"/>
      <c r="K1184" s="9"/>
      <c r="L1184" s="9"/>
      <c r="M1184" s="9"/>
      <c r="N1184" s="9"/>
      <c r="O1184" s="46"/>
      <c r="P1184" s="42"/>
      <c r="Q1184" s="42"/>
      <c r="R1184" s="50"/>
      <c r="S1184" s="42"/>
      <c r="T1184" s="42"/>
    </row>
    <row r="1185" spans="1:20">
      <c r="A1185" s="3"/>
      <c r="B1185" s="3"/>
      <c r="C1185" s="3"/>
      <c r="D1185" s="3"/>
      <c r="E1185" s="16"/>
      <c r="F1185" s="16"/>
      <c r="G1185" s="16"/>
      <c r="H1185" s="16"/>
      <c r="I1185" s="9"/>
      <c r="J1185" s="9"/>
      <c r="K1185" s="9"/>
      <c r="L1185" s="9"/>
      <c r="M1185" s="9"/>
      <c r="N1185" s="9"/>
      <c r="O1185" s="46"/>
      <c r="P1185" s="42"/>
      <c r="Q1185" s="42"/>
      <c r="R1185" s="50"/>
      <c r="S1185" s="42"/>
      <c r="T1185" s="42"/>
    </row>
    <row r="1186" spans="1:20">
      <c r="A1186" s="3"/>
      <c r="B1186" s="3"/>
      <c r="C1186" s="3"/>
      <c r="D1186" s="3"/>
      <c r="E1186" s="16"/>
      <c r="F1186" s="16"/>
      <c r="G1186" s="16"/>
      <c r="H1186" s="16"/>
      <c r="I1186" s="9"/>
      <c r="J1186" s="9"/>
      <c r="K1186" s="9"/>
      <c r="L1186" s="9"/>
      <c r="M1186" s="9"/>
      <c r="N1186" s="9"/>
      <c r="O1186" s="46"/>
      <c r="P1186" s="42"/>
      <c r="Q1186" s="42"/>
      <c r="R1186" s="50"/>
      <c r="S1186" s="42"/>
      <c r="T1186" s="42"/>
    </row>
    <row r="1187" spans="1:20">
      <c r="A1187" s="3"/>
      <c r="B1187" s="3"/>
      <c r="C1187" s="3"/>
      <c r="D1187" s="3"/>
      <c r="E1187" s="16"/>
      <c r="F1187" s="16"/>
      <c r="G1187" s="16"/>
      <c r="H1187" s="16"/>
      <c r="I1187" s="9"/>
      <c r="J1187" s="9"/>
      <c r="K1187" s="9"/>
      <c r="L1187" s="9"/>
      <c r="M1187" s="9"/>
      <c r="N1187" s="9"/>
      <c r="O1187" s="46"/>
      <c r="P1187" s="42"/>
      <c r="Q1187" s="42"/>
      <c r="R1187" s="50"/>
      <c r="S1187" s="42"/>
      <c r="T1187" s="42"/>
    </row>
    <row r="1188" spans="1:20">
      <c r="A1188" s="3"/>
      <c r="B1188" s="3"/>
      <c r="C1188" s="3"/>
      <c r="D1188" s="3"/>
      <c r="E1188" s="16"/>
      <c r="F1188" s="16"/>
      <c r="G1188" s="16"/>
      <c r="H1188" s="16"/>
      <c r="I1188" s="9"/>
      <c r="J1188" s="9"/>
      <c r="K1188" s="9"/>
      <c r="L1188" s="9"/>
      <c r="M1188" s="9"/>
      <c r="N1188" s="9"/>
      <c r="O1188" s="46"/>
      <c r="P1188" s="42"/>
      <c r="Q1188" s="42"/>
      <c r="R1188" s="50"/>
      <c r="S1188" s="42"/>
      <c r="T1188" s="42"/>
    </row>
    <row r="1189" spans="1:20">
      <c r="A1189" s="3"/>
      <c r="B1189" s="3"/>
      <c r="C1189" s="3"/>
      <c r="D1189" s="3"/>
      <c r="E1189" s="16"/>
      <c r="F1189" s="16"/>
      <c r="G1189" s="16"/>
      <c r="H1189" s="16"/>
      <c r="I1189" s="9"/>
      <c r="J1189" s="9"/>
      <c r="K1189" s="9"/>
      <c r="L1189" s="9"/>
      <c r="M1189" s="9"/>
      <c r="N1189" s="9"/>
      <c r="O1189" s="46"/>
      <c r="P1189" s="42"/>
      <c r="Q1189" s="42"/>
      <c r="R1189" s="50"/>
      <c r="S1189" s="42"/>
      <c r="T1189" s="42"/>
    </row>
    <row r="1190" spans="1:20">
      <c r="A1190" s="3"/>
      <c r="B1190" s="3"/>
      <c r="C1190" s="3"/>
      <c r="D1190" s="3"/>
      <c r="E1190" s="16"/>
      <c r="F1190" s="16"/>
      <c r="G1190" s="16"/>
      <c r="H1190" s="16"/>
      <c r="I1190" s="9"/>
      <c r="J1190" s="9"/>
      <c r="K1190" s="9"/>
      <c r="L1190" s="9"/>
      <c r="M1190" s="9"/>
      <c r="N1190" s="9"/>
      <c r="O1190" s="46"/>
      <c r="P1190" s="42"/>
      <c r="Q1190" s="42"/>
      <c r="R1190" s="50"/>
      <c r="S1190" s="42"/>
      <c r="T1190" s="42"/>
    </row>
    <row r="1191" spans="1:20">
      <c r="A1191" s="3"/>
      <c r="B1191" s="3"/>
      <c r="C1191" s="3"/>
      <c r="D1191" s="3"/>
      <c r="E1191" s="16"/>
      <c r="F1191" s="16"/>
      <c r="G1191" s="16"/>
      <c r="H1191" s="16"/>
      <c r="I1191" s="9"/>
      <c r="J1191" s="9"/>
      <c r="K1191" s="9"/>
      <c r="L1191" s="9"/>
      <c r="M1191" s="9"/>
      <c r="N1191" s="9"/>
      <c r="O1191" s="46"/>
      <c r="P1191" s="42"/>
      <c r="Q1191" s="42"/>
      <c r="R1191" s="50"/>
      <c r="S1191" s="42"/>
      <c r="T1191" s="42"/>
    </row>
    <row r="1192" spans="1:20">
      <c r="A1192" s="3"/>
      <c r="B1192" s="3"/>
      <c r="C1192" s="3"/>
      <c r="D1192" s="3"/>
      <c r="E1192" s="16"/>
      <c r="F1192" s="16"/>
      <c r="G1192" s="16"/>
      <c r="H1192" s="16"/>
      <c r="I1192" s="9"/>
      <c r="J1192" s="9"/>
      <c r="K1192" s="9"/>
      <c r="L1192" s="9"/>
      <c r="M1192" s="9"/>
      <c r="N1192" s="9"/>
      <c r="O1192" s="46"/>
      <c r="P1192" s="42"/>
      <c r="Q1192" s="42"/>
      <c r="R1192" s="50"/>
      <c r="S1192" s="42"/>
      <c r="T1192" s="42"/>
    </row>
    <row r="1193" spans="1:20">
      <c r="A1193" s="3"/>
      <c r="B1193" s="3"/>
      <c r="C1193" s="3"/>
      <c r="D1193" s="3"/>
      <c r="E1193" s="16"/>
      <c r="F1193" s="16"/>
      <c r="G1193" s="16"/>
      <c r="H1193" s="16"/>
      <c r="I1193" s="9"/>
      <c r="J1193" s="9"/>
      <c r="K1193" s="9"/>
      <c r="L1193" s="9"/>
      <c r="M1193" s="9"/>
      <c r="N1193" s="9"/>
      <c r="O1193" s="46"/>
      <c r="P1193" s="42"/>
      <c r="Q1193" s="42"/>
      <c r="R1193" s="50"/>
      <c r="S1193" s="42"/>
      <c r="T1193" s="42"/>
    </row>
    <row r="1194" spans="1:20">
      <c r="A1194" s="3"/>
      <c r="B1194" s="3"/>
      <c r="C1194" s="3"/>
      <c r="D1194" s="3"/>
      <c r="E1194" s="16"/>
      <c r="F1194" s="16"/>
      <c r="G1194" s="16"/>
      <c r="H1194" s="16"/>
      <c r="I1194" s="9"/>
      <c r="J1194" s="9"/>
      <c r="K1194" s="9"/>
      <c r="L1194" s="9"/>
      <c r="M1194" s="9"/>
      <c r="N1194" s="9"/>
      <c r="O1194" s="46"/>
      <c r="P1194" s="42"/>
      <c r="Q1194" s="42"/>
      <c r="R1194" s="50"/>
      <c r="S1194" s="42"/>
      <c r="T1194" s="42"/>
    </row>
    <row r="1195" spans="1:20">
      <c r="A1195" s="3"/>
      <c r="B1195" s="3"/>
      <c r="C1195" s="3"/>
      <c r="D1195" s="3"/>
      <c r="E1195" s="16"/>
      <c r="F1195" s="16"/>
      <c r="G1195" s="16"/>
      <c r="H1195" s="16"/>
      <c r="I1195" s="9"/>
      <c r="J1195" s="9"/>
      <c r="K1195" s="9"/>
      <c r="L1195" s="9"/>
      <c r="M1195" s="9"/>
      <c r="N1195" s="9"/>
      <c r="O1195" s="46"/>
      <c r="P1195" s="42"/>
      <c r="Q1195" s="42"/>
      <c r="R1195" s="50"/>
      <c r="S1195" s="42"/>
      <c r="T1195" s="42"/>
    </row>
    <row r="1196" spans="1:20">
      <c r="A1196" s="3"/>
      <c r="B1196" s="3"/>
      <c r="C1196" s="3"/>
      <c r="D1196" s="3"/>
      <c r="E1196" s="16"/>
      <c r="F1196" s="16"/>
      <c r="G1196" s="16"/>
      <c r="H1196" s="16"/>
      <c r="I1196" s="9"/>
      <c r="J1196" s="9"/>
      <c r="K1196" s="9"/>
      <c r="L1196" s="9"/>
      <c r="M1196" s="9"/>
      <c r="N1196" s="9"/>
      <c r="O1196" s="46"/>
      <c r="P1196" s="42"/>
      <c r="Q1196" s="42"/>
      <c r="R1196" s="50"/>
      <c r="S1196" s="42"/>
      <c r="T1196" s="42"/>
    </row>
    <row r="1197" spans="1:20">
      <c r="A1197" s="3"/>
      <c r="B1197" s="3"/>
      <c r="C1197" s="3"/>
      <c r="D1197" s="3"/>
      <c r="E1197" s="16"/>
      <c r="F1197" s="16"/>
      <c r="G1197" s="16"/>
      <c r="H1197" s="16"/>
      <c r="I1197" s="9"/>
      <c r="J1197" s="9"/>
      <c r="K1197" s="9"/>
      <c r="L1197" s="9"/>
      <c r="M1197" s="9"/>
      <c r="N1197" s="9"/>
      <c r="O1197" s="46"/>
      <c r="P1197" s="42"/>
      <c r="Q1197" s="42"/>
      <c r="R1197" s="50"/>
      <c r="S1197" s="42"/>
      <c r="T1197" s="42"/>
    </row>
    <row r="1198" spans="1:20">
      <c r="A1198" s="3"/>
      <c r="B1198" s="3"/>
      <c r="C1198" s="3"/>
      <c r="D1198" s="3"/>
      <c r="E1198" s="16"/>
      <c r="F1198" s="16"/>
      <c r="G1198" s="16"/>
      <c r="H1198" s="16"/>
      <c r="I1198" s="9"/>
      <c r="J1198" s="9"/>
      <c r="K1198" s="9"/>
      <c r="L1198" s="9"/>
      <c r="M1198" s="9"/>
      <c r="N1198" s="9"/>
      <c r="O1198" s="46"/>
      <c r="P1198" s="42"/>
      <c r="Q1198" s="42"/>
      <c r="R1198" s="50"/>
      <c r="S1198" s="42"/>
      <c r="T1198" s="42"/>
    </row>
    <row r="1199" spans="1:20">
      <c r="A1199" s="3"/>
      <c r="B1199" s="3"/>
      <c r="C1199" s="3"/>
      <c r="D1199" s="3"/>
      <c r="E1199" s="16"/>
      <c r="F1199" s="16"/>
      <c r="G1199" s="16"/>
      <c r="H1199" s="16"/>
      <c r="I1199" s="9"/>
      <c r="J1199" s="9"/>
      <c r="K1199" s="9"/>
      <c r="L1199" s="9"/>
      <c r="M1199" s="9"/>
      <c r="N1199" s="9"/>
      <c r="O1199" s="46"/>
      <c r="P1199" s="42"/>
      <c r="Q1199" s="42"/>
      <c r="R1199" s="50"/>
      <c r="S1199" s="42"/>
      <c r="T1199" s="42"/>
    </row>
    <row r="1200" spans="1:20">
      <c r="A1200" s="3"/>
      <c r="B1200" s="3"/>
      <c r="C1200" s="3"/>
      <c r="D1200" s="3"/>
      <c r="E1200" s="16"/>
      <c r="F1200" s="16"/>
      <c r="G1200" s="16"/>
      <c r="H1200" s="16"/>
      <c r="I1200" s="9"/>
      <c r="J1200" s="9"/>
      <c r="K1200" s="9"/>
      <c r="L1200" s="9"/>
      <c r="M1200" s="9"/>
      <c r="N1200" s="9"/>
      <c r="O1200" s="46"/>
      <c r="P1200" s="42"/>
      <c r="Q1200" s="42"/>
      <c r="R1200" s="50"/>
      <c r="S1200" s="42"/>
      <c r="T1200" s="42"/>
    </row>
    <row r="1201" spans="1:20">
      <c r="A1201" s="3"/>
      <c r="B1201" s="3"/>
      <c r="C1201" s="3"/>
      <c r="D1201" s="3"/>
      <c r="E1201" s="16"/>
      <c r="F1201" s="16"/>
      <c r="G1201" s="16"/>
      <c r="H1201" s="16"/>
      <c r="I1201" s="9"/>
      <c r="J1201" s="9"/>
      <c r="K1201" s="9"/>
      <c r="L1201" s="9"/>
      <c r="M1201" s="9"/>
      <c r="N1201" s="9"/>
      <c r="O1201" s="46"/>
      <c r="P1201" s="42"/>
      <c r="Q1201" s="42"/>
      <c r="R1201" s="50"/>
      <c r="S1201" s="42"/>
      <c r="T1201" s="42"/>
    </row>
    <row r="1202" spans="1:20">
      <c r="A1202" s="3"/>
      <c r="B1202" s="3"/>
      <c r="C1202" s="3"/>
      <c r="D1202" s="3"/>
      <c r="E1202" s="16"/>
      <c r="F1202" s="16"/>
      <c r="G1202" s="16"/>
      <c r="H1202" s="16"/>
      <c r="I1202" s="9"/>
      <c r="J1202" s="9"/>
      <c r="K1202" s="9"/>
      <c r="L1202" s="9"/>
      <c r="M1202" s="9"/>
      <c r="N1202" s="9"/>
      <c r="O1202" s="46"/>
      <c r="P1202" s="42"/>
      <c r="Q1202" s="42"/>
      <c r="R1202" s="50"/>
      <c r="S1202" s="42"/>
      <c r="T1202" s="42"/>
    </row>
    <row r="1203" spans="1:20">
      <c r="A1203" s="3"/>
      <c r="B1203" s="3"/>
      <c r="C1203" s="3"/>
      <c r="D1203" s="3"/>
      <c r="E1203" s="16"/>
      <c r="F1203" s="16"/>
      <c r="G1203" s="16"/>
      <c r="H1203" s="16"/>
      <c r="I1203" s="9"/>
      <c r="J1203" s="9"/>
      <c r="K1203" s="9"/>
      <c r="L1203" s="9"/>
      <c r="M1203" s="9"/>
      <c r="N1203" s="9"/>
      <c r="O1203" s="46"/>
      <c r="P1203" s="42"/>
      <c r="Q1203" s="42"/>
      <c r="R1203" s="50"/>
      <c r="S1203" s="42"/>
      <c r="T1203" s="42"/>
    </row>
    <row r="1204" spans="1:20">
      <c r="A1204" s="3"/>
      <c r="B1204" s="3"/>
      <c r="C1204" s="3"/>
      <c r="D1204" s="3"/>
    </row>
    <row r="1205" spans="1:20">
      <c r="A1205" s="3"/>
      <c r="B1205" s="3"/>
      <c r="C1205" s="3"/>
      <c r="D1205" s="3"/>
    </row>
    <row r="1206" spans="1:20">
      <c r="A1206" s="3"/>
      <c r="B1206" s="3"/>
      <c r="C1206" s="3"/>
      <c r="D1206" s="3"/>
    </row>
    <row r="1207" spans="1:20">
      <c r="A1207" s="3"/>
      <c r="B1207" s="3"/>
      <c r="C1207" s="3"/>
      <c r="D1207" s="3"/>
    </row>
    <row r="1208" spans="1:20">
      <c r="A1208" s="3"/>
      <c r="B1208" s="3"/>
      <c r="C1208" s="3"/>
      <c r="D1208" s="3"/>
    </row>
    <row r="1209" spans="1:20">
      <c r="A1209" s="3"/>
      <c r="B1209" s="3"/>
      <c r="C1209" s="3"/>
      <c r="D1209" s="3"/>
    </row>
    <row r="1210" spans="1:20">
      <c r="A1210" s="3"/>
      <c r="B1210" s="3"/>
      <c r="C1210" s="3"/>
      <c r="D1210" s="3"/>
    </row>
    <row r="1211" spans="1:20">
      <c r="A1211" s="3"/>
      <c r="B1211" s="3"/>
      <c r="C1211" s="3"/>
      <c r="D1211" s="3"/>
    </row>
    <row r="1212" spans="1:20">
      <c r="A1212" s="3"/>
      <c r="B1212" s="3"/>
      <c r="C1212" s="3"/>
      <c r="D1212" s="3"/>
    </row>
    <row r="1213" spans="1:20">
      <c r="A1213" s="3"/>
      <c r="B1213" s="3"/>
      <c r="C1213" s="3"/>
      <c r="D1213" s="3"/>
    </row>
    <row r="1214" spans="1:20">
      <c r="A1214" s="3"/>
      <c r="B1214" s="3"/>
      <c r="C1214" s="3"/>
      <c r="D1214" s="3"/>
    </row>
    <row r="1215" spans="1:20">
      <c r="A1215" s="3"/>
      <c r="B1215" s="3"/>
      <c r="C1215" s="3"/>
      <c r="D1215" s="3"/>
    </row>
    <row r="1216" spans="1:20">
      <c r="A1216" s="3"/>
      <c r="B1216" s="3"/>
      <c r="C1216" s="3"/>
      <c r="D1216" s="3"/>
    </row>
    <row r="1217" spans="1:4">
      <c r="A1217" s="3"/>
      <c r="B1217" s="3"/>
      <c r="C1217" s="3"/>
      <c r="D1217" s="3"/>
    </row>
    <row r="1218" spans="1:4">
      <c r="A1218" s="3"/>
      <c r="B1218" s="3"/>
      <c r="C1218" s="3"/>
      <c r="D1218" s="3"/>
    </row>
    <row r="1219" spans="1:4">
      <c r="A1219" s="3"/>
      <c r="B1219" s="3"/>
      <c r="C1219" s="3"/>
      <c r="D1219" s="3"/>
    </row>
    <row r="1220" spans="1:4">
      <c r="A1220" s="3"/>
      <c r="B1220" s="3"/>
      <c r="C1220" s="3"/>
      <c r="D1220" s="3"/>
    </row>
    <row r="1221" spans="1:4">
      <c r="A1221" s="3"/>
      <c r="B1221" s="3"/>
      <c r="C1221" s="3"/>
      <c r="D1221" s="3"/>
    </row>
    <row r="1222" spans="1:4">
      <c r="A1222" s="3"/>
      <c r="B1222" s="3"/>
      <c r="C1222" s="3"/>
      <c r="D1222" s="3"/>
    </row>
    <row r="1223" spans="1:4">
      <c r="A1223" s="3"/>
      <c r="B1223" s="3"/>
      <c r="C1223" s="3"/>
      <c r="D1223" s="3"/>
    </row>
    <row r="1224" spans="1:4">
      <c r="A1224" s="3"/>
      <c r="B1224" s="3"/>
      <c r="C1224" s="3"/>
      <c r="D1224" s="3"/>
    </row>
    <row r="1225" spans="1:4">
      <c r="A1225" s="3"/>
      <c r="B1225" s="3"/>
      <c r="C1225" s="3"/>
      <c r="D1225" s="3"/>
    </row>
    <row r="1226" spans="1:4">
      <c r="A1226" s="3"/>
      <c r="B1226" s="3"/>
      <c r="C1226" s="3"/>
      <c r="D1226" s="3"/>
    </row>
    <row r="1227" spans="1:4">
      <c r="A1227" s="3"/>
      <c r="B1227" s="3"/>
      <c r="C1227" s="3"/>
      <c r="D1227" s="3"/>
    </row>
    <row r="1228" spans="1:4">
      <c r="A1228" s="3"/>
      <c r="B1228" s="3"/>
      <c r="C1228" s="3"/>
      <c r="D1228" s="3"/>
    </row>
    <row r="1229" spans="1:4">
      <c r="A1229" s="3"/>
      <c r="B1229" s="3"/>
      <c r="C1229" s="3"/>
      <c r="D1229" s="3"/>
    </row>
    <row r="1230" spans="1:4">
      <c r="A1230" s="3"/>
      <c r="B1230" s="3"/>
      <c r="C1230" s="3"/>
      <c r="D1230" s="3"/>
    </row>
    <row r="1231" spans="1:4">
      <c r="A1231" s="3"/>
      <c r="B1231" s="3"/>
      <c r="C1231" s="3"/>
      <c r="D1231" s="3"/>
    </row>
    <row r="1232" spans="1:4">
      <c r="A1232" s="3"/>
      <c r="B1232" s="3"/>
      <c r="C1232" s="3"/>
      <c r="D1232" s="3"/>
    </row>
    <row r="1233" spans="1:4">
      <c r="A1233" s="3"/>
      <c r="B1233" s="3"/>
      <c r="C1233" s="3"/>
      <c r="D1233" s="3"/>
    </row>
    <row r="1234" spans="1:4">
      <c r="A1234" s="3"/>
      <c r="B1234" s="3"/>
      <c r="C1234" s="3"/>
      <c r="D1234" s="3"/>
    </row>
    <row r="1235" spans="1:4">
      <c r="A1235" s="3"/>
      <c r="B1235" s="3"/>
      <c r="C1235" s="3"/>
      <c r="D1235" s="3"/>
    </row>
    <row r="1236" spans="1:4">
      <c r="A1236" s="3"/>
      <c r="B1236" s="3"/>
      <c r="C1236" s="3"/>
      <c r="D1236" s="3"/>
    </row>
    <row r="1237" spans="1:4">
      <c r="A1237" s="3"/>
      <c r="B1237" s="3"/>
      <c r="C1237" s="3"/>
      <c r="D1237" s="3"/>
    </row>
    <row r="1238" spans="1:4">
      <c r="A1238" s="3"/>
      <c r="B1238" s="3"/>
      <c r="C1238" s="3"/>
      <c r="D1238" s="3"/>
    </row>
    <row r="1239" spans="1:4">
      <c r="A1239" s="3"/>
      <c r="B1239" s="3"/>
      <c r="C1239" s="3"/>
      <c r="D1239" s="3"/>
    </row>
    <row r="1240" spans="1:4">
      <c r="A1240" s="3"/>
      <c r="B1240" s="3"/>
      <c r="C1240" s="3"/>
      <c r="D1240" s="3"/>
    </row>
    <row r="1241" spans="1:4">
      <c r="A1241" s="3"/>
      <c r="B1241" s="3"/>
      <c r="C1241" s="3"/>
      <c r="D1241" s="3"/>
    </row>
    <row r="1242" spans="1:4">
      <c r="A1242" s="3"/>
      <c r="B1242" s="3"/>
      <c r="C1242" s="3"/>
      <c r="D1242" s="3"/>
    </row>
    <row r="1243" spans="1:4">
      <c r="A1243" s="3"/>
      <c r="B1243" s="3"/>
      <c r="C1243" s="3"/>
      <c r="D1243" s="3"/>
    </row>
    <row r="1244" spans="1:4">
      <c r="A1244" s="3"/>
      <c r="B1244" s="3"/>
      <c r="C1244" s="3"/>
      <c r="D1244" s="3"/>
    </row>
    <row r="1245" spans="1:4">
      <c r="A1245" s="3"/>
      <c r="B1245" s="3"/>
      <c r="C1245" s="3"/>
      <c r="D1245" s="3"/>
    </row>
    <row r="1246" spans="1:4">
      <c r="A1246" s="3"/>
      <c r="B1246" s="3"/>
      <c r="C1246" s="3"/>
      <c r="D1246" s="3"/>
    </row>
    <row r="1247" spans="1:4">
      <c r="A1247" s="3"/>
      <c r="B1247" s="3"/>
      <c r="C1247" s="3"/>
      <c r="D1247" s="3"/>
    </row>
    <row r="1248" spans="1:4">
      <c r="A1248" s="3"/>
      <c r="B1248" s="3"/>
      <c r="C1248" s="3"/>
      <c r="D1248" s="3"/>
    </row>
    <row r="1249" spans="1:4">
      <c r="A1249" s="3"/>
      <c r="B1249" s="3"/>
      <c r="C1249" s="3"/>
      <c r="D1249" s="3"/>
    </row>
    <row r="1250" spans="1:4">
      <c r="A1250" s="3"/>
      <c r="B1250" s="3"/>
      <c r="C1250" s="3"/>
      <c r="D1250" s="3"/>
    </row>
    <row r="1251" spans="1:4">
      <c r="A1251" s="3"/>
      <c r="B1251" s="3"/>
      <c r="C1251" s="3"/>
      <c r="D1251" s="3"/>
    </row>
    <row r="1252" spans="1:4">
      <c r="A1252" s="3"/>
      <c r="B1252" s="3"/>
      <c r="C1252" s="3"/>
      <c r="D1252" s="3"/>
    </row>
    <row r="1253" spans="1:4">
      <c r="A1253" s="3"/>
      <c r="B1253" s="3"/>
      <c r="C1253" s="3"/>
      <c r="D1253" s="3"/>
    </row>
    <row r="1254" spans="1:4">
      <c r="A1254" s="3"/>
      <c r="B1254" s="3"/>
      <c r="C1254" s="3"/>
      <c r="D1254" s="3"/>
    </row>
    <row r="1255" spans="1:4">
      <c r="A1255" s="3"/>
      <c r="B1255" s="3"/>
      <c r="C1255" s="3"/>
      <c r="D1255" s="3"/>
    </row>
    <row r="1256" spans="1:4">
      <c r="A1256" s="3"/>
      <c r="B1256" s="3"/>
      <c r="C1256" s="3"/>
      <c r="D1256" s="3"/>
    </row>
    <row r="1257" spans="1:4">
      <c r="A1257" s="3"/>
      <c r="B1257" s="3"/>
      <c r="C1257" s="3"/>
      <c r="D1257" s="3"/>
    </row>
    <row r="1258" spans="1:4">
      <c r="A1258" s="3"/>
      <c r="B1258" s="3"/>
      <c r="C1258" s="3"/>
      <c r="D1258" s="3"/>
    </row>
    <row r="1259" spans="1:4">
      <c r="A1259" s="3"/>
      <c r="B1259" s="3"/>
      <c r="C1259" s="3"/>
      <c r="D1259" s="3"/>
    </row>
    <row r="1260" spans="1:4">
      <c r="A1260" s="3"/>
      <c r="B1260" s="3"/>
      <c r="C1260" s="3"/>
      <c r="D1260" s="3"/>
    </row>
    <row r="1261" spans="1:4">
      <c r="A1261" s="3"/>
      <c r="B1261" s="3"/>
      <c r="C1261" s="3"/>
      <c r="D1261" s="3"/>
    </row>
    <row r="1262" spans="1:4">
      <c r="A1262" s="3"/>
      <c r="B1262" s="3"/>
      <c r="C1262" s="3"/>
      <c r="D1262" s="3"/>
    </row>
    <row r="1263" spans="1:4">
      <c r="A1263" s="3"/>
      <c r="B1263" s="3"/>
      <c r="C1263" s="3"/>
      <c r="D1263" s="3"/>
    </row>
    <row r="1264" spans="1:4">
      <c r="A1264" s="3"/>
      <c r="B1264" s="3"/>
      <c r="C1264" s="3"/>
      <c r="D1264" s="3"/>
    </row>
    <row r="1265" spans="1:4">
      <c r="A1265" s="3"/>
      <c r="B1265" s="3"/>
      <c r="C1265" s="3"/>
      <c r="D1265" s="3"/>
    </row>
    <row r="1266" spans="1:4">
      <c r="A1266" s="3"/>
      <c r="B1266" s="3"/>
      <c r="C1266" s="3"/>
      <c r="D1266" s="3"/>
    </row>
    <row r="1267" spans="1:4">
      <c r="A1267" s="3"/>
      <c r="B1267" s="3"/>
      <c r="C1267" s="3"/>
      <c r="D1267" s="3"/>
    </row>
    <row r="1268" spans="1:4">
      <c r="A1268" s="3"/>
      <c r="B1268" s="3"/>
      <c r="C1268" s="3"/>
      <c r="D1268" s="3"/>
    </row>
    <row r="1269" spans="1:4">
      <c r="A1269" s="3"/>
      <c r="B1269" s="3"/>
      <c r="C1269" s="3"/>
      <c r="D1269" s="3"/>
    </row>
    <row r="1270" spans="1:4">
      <c r="A1270" s="3"/>
      <c r="B1270" s="3"/>
      <c r="C1270" s="3"/>
      <c r="D1270" s="3"/>
    </row>
    <row r="1271" spans="1:4">
      <c r="A1271" s="3"/>
      <c r="B1271" s="3"/>
      <c r="C1271" s="3"/>
      <c r="D1271" s="3"/>
    </row>
    <row r="1272" spans="1:4">
      <c r="A1272" s="3"/>
      <c r="B1272" s="3"/>
      <c r="C1272" s="3"/>
      <c r="D1272" s="3"/>
    </row>
    <row r="1273" spans="1:4">
      <c r="A1273" s="3"/>
      <c r="B1273" s="3"/>
      <c r="C1273" s="3"/>
      <c r="D1273" s="3"/>
    </row>
    <row r="1274" spans="1:4">
      <c r="A1274" s="3"/>
      <c r="B1274" s="3"/>
      <c r="C1274" s="3"/>
      <c r="D1274" s="3"/>
    </row>
    <row r="1275" spans="1:4">
      <c r="A1275" s="3"/>
      <c r="B1275" s="3"/>
      <c r="C1275" s="3"/>
      <c r="D1275" s="3"/>
    </row>
    <row r="1276" spans="1:4">
      <c r="A1276" s="3"/>
      <c r="B1276" s="3"/>
      <c r="C1276" s="3"/>
      <c r="D1276" s="3"/>
    </row>
    <row r="1277" spans="1:4">
      <c r="A1277" s="3"/>
      <c r="B1277" s="3"/>
      <c r="C1277" s="3"/>
      <c r="D1277" s="3"/>
    </row>
    <row r="1278" spans="1:4">
      <c r="A1278" s="3"/>
      <c r="B1278" s="3"/>
      <c r="C1278" s="3"/>
      <c r="D1278" s="3"/>
    </row>
    <row r="1279" spans="1:4">
      <c r="A1279" s="3"/>
      <c r="B1279" s="3"/>
      <c r="C1279" s="3"/>
      <c r="D1279" s="3"/>
    </row>
    <row r="1280" spans="1:4">
      <c r="A1280" s="3"/>
      <c r="B1280" s="3"/>
      <c r="C1280" s="3"/>
      <c r="D1280" s="3"/>
    </row>
    <row r="1281" spans="1:4">
      <c r="A1281" s="3"/>
      <c r="B1281" s="3"/>
      <c r="C1281" s="3"/>
      <c r="D1281" s="3"/>
    </row>
    <row r="1282" spans="1:4">
      <c r="A1282" s="3"/>
      <c r="B1282" s="3"/>
      <c r="C1282" s="3"/>
      <c r="D1282" s="3"/>
    </row>
    <row r="1283" spans="1:4">
      <c r="A1283" s="3"/>
      <c r="B1283" s="3"/>
      <c r="C1283" s="3"/>
      <c r="D1283" s="3"/>
    </row>
    <row r="1284" spans="1:4">
      <c r="A1284" s="3"/>
      <c r="B1284" s="3"/>
      <c r="C1284" s="3"/>
      <c r="D1284" s="3"/>
    </row>
    <row r="1285" spans="1:4">
      <c r="A1285" s="3"/>
      <c r="B1285" s="3"/>
      <c r="C1285" s="3"/>
      <c r="D1285" s="3"/>
    </row>
    <row r="1286" spans="1:4">
      <c r="A1286" s="3"/>
      <c r="B1286" s="3"/>
      <c r="C1286" s="3"/>
      <c r="D1286" s="3"/>
    </row>
    <row r="1287" spans="1:4">
      <c r="A1287" s="3"/>
      <c r="B1287" s="3"/>
      <c r="C1287" s="3"/>
      <c r="D1287" s="3"/>
    </row>
    <row r="1288" spans="1:4">
      <c r="A1288" s="3"/>
      <c r="B1288" s="3"/>
      <c r="C1288" s="3"/>
      <c r="D1288" s="3"/>
    </row>
    <row r="1289" spans="1:4">
      <c r="A1289" s="3"/>
      <c r="B1289" s="3"/>
      <c r="C1289" s="3"/>
      <c r="D1289" s="3"/>
    </row>
    <row r="1290" spans="1:4">
      <c r="A1290" s="3"/>
      <c r="B1290" s="3"/>
      <c r="C1290" s="3"/>
      <c r="D1290" s="3"/>
    </row>
    <row r="1291" spans="1:4">
      <c r="A1291" s="3"/>
      <c r="B1291" s="3"/>
      <c r="C1291" s="3"/>
      <c r="D1291" s="3"/>
    </row>
    <row r="1292" spans="1:4">
      <c r="A1292" s="3"/>
      <c r="B1292" s="3"/>
      <c r="C1292" s="3"/>
      <c r="D1292" s="3"/>
    </row>
    <row r="1293" spans="1:4">
      <c r="A1293" s="3"/>
      <c r="B1293" s="3"/>
      <c r="C1293" s="3"/>
      <c r="D1293" s="3"/>
    </row>
    <row r="1294" spans="1:4">
      <c r="A1294" s="3"/>
      <c r="B1294" s="3"/>
      <c r="C1294" s="3"/>
      <c r="D1294" s="3"/>
    </row>
    <row r="1295" spans="1:4">
      <c r="A1295" s="3"/>
      <c r="B1295" s="3"/>
      <c r="C1295" s="3"/>
      <c r="D1295" s="3"/>
    </row>
    <row r="1296" spans="1:4">
      <c r="A1296" s="3"/>
      <c r="B1296" s="3"/>
      <c r="C1296" s="3"/>
      <c r="D1296" s="3"/>
    </row>
    <row r="1297" spans="1:4">
      <c r="A1297" s="3"/>
      <c r="B1297" s="3"/>
      <c r="C1297" s="3"/>
      <c r="D1297" s="3"/>
    </row>
    <row r="1298" spans="1:4">
      <c r="A1298" s="3"/>
      <c r="B1298" s="3"/>
      <c r="C1298" s="3"/>
      <c r="D1298" s="3"/>
    </row>
    <row r="1299" spans="1:4">
      <c r="A1299" s="3"/>
      <c r="B1299" s="3"/>
      <c r="C1299" s="3"/>
      <c r="D1299" s="3"/>
    </row>
    <row r="1300" spans="1:4">
      <c r="A1300" s="3"/>
      <c r="B1300" s="3"/>
      <c r="C1300" s="3"/>
      <c r="D1300" s="3"/>
    </row>
    <row r="1301" spans="1:4">
      <c r="A1301" s="3"/>
      <c r="B1301" s="3"/>
      <c r="C1301" s="3"/>
      <c r="D1301" s="3"/>
    </row>
    <row r="1302" spans="1:4">
      <c r="A1302" s="3"/>
      <c r="B1302" s="3"/>
      <c r="C1302" s="3"/>
      <c r="D1302" s="3"/>
    </row>
    <row r="1303" spans="1:4">
      <c r="A1303" s="3"/>
      <c r="B1303" s="3"/>
      <c r="C1303" s="3"/>
      <c r="D1303" s="3"/>
    </row>
    <row r="1304" spans="1:4">
      <c r="A1304" s="3"/>
      <c r="B1304" s="3"/>
      <c r="C1304" s="3"/>
      <c r="D1304" s="3"/>
    </row>
    <row r="1305" spans="1:4">
      <c r="A1305" s="3"/>
      <c r="B1305" s="3"/>
      <c r="C1305" s="3"/>
      <c r="D1305" s="3"/>
    </row>
    <row r="1306" spans="1:4">
      <c r="A1306" s="3"/>
      <c r="B1306" s="3"/>
      <c r="C1306" s="3"/>
      <c r="D1306" s="3"/>
    </row>
    <row r="1307" spans="1:4">
      <c r="A1307" s="3"/>
      <c r="B1307" s="3"/>
      <c r="C1307" s="3"/>
      <c r="D1307" s="3"/>
    </row>
    <row r="1308" spans="1:4">
      <c r="A1308" s="3"/>
      <c r="B1308" s="3"/>
      <c r="C1308" s="3"/>
      <c r="D1308" s="3"/>
    </row>
    <row r="1309" spans="1:4">
      <c r="A1309" s="3"/>
      <c r="B1309" s="3"/>
      <c r="C1309" s="3"/>
      <c r="D1309" s="3"/>
    </row>
    <row r="1310" spans="1:4">
      <c r="A1310" s="3"/>
      <c r="B1310" s="3"/>
      <c r="C1310" s="3"/>
      <c r="D1310" s="3"/>
    </row>
    <row r="1311" spans="1:4">
      <c r="A1311" s="3"/>
      <c r="B1311" s="3"/>
      <c r="C1311" s="3"/>
      <c r="D1311" s="3"/>
    </row>
    <row r="1312" spans="1:4">
      <c r="A1312" s="3"/>
      <c r="B1312" s="3"/>
      <c r="C1312" s="3"/>
      <c r="D1312" s="3"/>
    </row>
    <row r="1313" spans="1:4">
      <c r="A1313" s="3"/>
      <c r="B1313" s="3"/>
      <c r="C1313" s="3"/>
      <c r="D1313" s="3"/>
    </row>
    <row r="1314" spans="1:4">
      <c r="A1314" s="3"/>
      <c r="B1314" s="3"/>
      <c r="C1314" s="3"/>
      <c r="D1314" s="3"/>
    </row>
    <row r="1315" spans="1:4">
      <c r="A1315" s="3"/>
      <c r="B1315" s="3"/>
      <c r="C1315" s="3"/>
      <c r="D1315" s="3"/>
    </row>
    <row r="1316" spans="1:4">
      <c r="A1316" s="3"/>
      <c r="B1316" s="3"/>
      <c r="C1316" s="3"/>
      <c r="D1316" s="3"/>
    </row>
    <row r="1317" spans="1:4">
      <c r="A1317" s="3"/>
      <c r="B1317" s="3"/>
      <c r="C1317" s="3"/>
      <c r="D1317" s="3"/>
    </row>
    <row r="1318" spans="1:4">
      <c r="A1318" s="3"/>
      <c r="B1318" s="3"/>
      <c r="C1318" s="3"/>
      <c r="D1318" s="3"/>
    </row>
    <row r="1319" spans="1:4">
      <c r="A1319" s="3"/>
      <c r="B1319" s="3"/>
      <c r="C1319" s="3"/>
      <c r="D1319" s="3"/>
    </row>
    <row r="1320" spans="1:4">
      <c r="A1320" s="3"/>
      <c r="B1320" s="3"/>
      <c r="C1320" s="3"/>
      <c r="D1320" s="3"/>
    </row>
    <row r="1321" spans="1:4">
      <c r="A1321" s="3"/>
      <c r="B1321" s="3"/>
      <c r="C1321" s="3"/>
      <c r="D1321" s="3"/>
    </row>
    <row r="1322" spans="1:4">
      <c r="A1322" s="3"/>
      <c r="B1322" s="3"/>
      <c r="C1322" s="3"/>
      <c r="D1322" s="3"/>
    </row>
    <row r="1323" spans="1:4">
      <c r="A1323" s="3"/>
      <c r="B1323" s="3"/>
      <c r="C1323" s="3"/>
      <c r="D1323" s="3"/>
    </row>
    <row r="1324" spans="1:4">
      <c r="A1324" s="3"/>
      <c r="B1324" s="3"/>
      <c r="C1324" s="3"/>
      <c r="D1324" s="3"/>
    </row>
    <row r="1325" spans="1:4">
      <c r="A1325" s="3"/>
      <c r="B1325" s="3"/>
      <c r="C1325" s="3"/>
      <c r="D1325" s="3"/>
    </row>
    <row r="1326" spans="1:4">
      <c r="A1326" s="3"/>
      <c r="B1326" s="3"/>
      <c r="C1326" s="3"/>
      <c r="D1326" s="3"/>
    </row>
    <row r="1327" spans="1:4">
      <c r="A1327" s="3"/>
      <c r="B1327" s="3"/>
      <c r="C1327" s="3"/>
      <c r="D1327" s="3"/>
    </row>
    <row r="1328" spans="1:4">
      <c r="A1328" s="3"/>
      <c r="B1328" s="3"/>
      <c r="C1328" s="3"/>
      <c r="D1328" s="3"/>
    </row>
    <row r="1329" spans="1:4">
      <c r="A1329" s="3"/>
      <c r="B1329" s="3"/>
      <c r="C1329" s="3"/>
      <c r="D1329" s="3"/>
    </row>
    <row r="1330" spans="1:4">
      <c r="A1330" s="3"/>
      <c r="B1330" s="3"/>
      <c r="C1330" s="3"/>
      <c r="D1330" s="3"/>
    </row>
    <row r="1331" spans="1:4">
      <c r="A1331" s="3"/>
      <c r="B1331" s="3"/>
      <c r="C1331" s="3"/>
      <c r="D1331" s="3"/>
    </row>
    <row r="1332" spans="1:4">
      <c r="A1332" s="3"/>
      <c r="B1332" s="3"/>
      <c r="C1332" s="3"/>
      <c r="D1332" s="3"/>
    </row>
    <row r="1333" spans="1:4">
      <c r="A1333" s="3"/>
      <c r="B1333" s="3"/>
      <c r="C1333" s="3"/>
      <c r="D1333" s="3"/>
    </row>
    <row r="1334" spans="1:4">
      <c r="A1334" s="3"/>
      <c r="B1334" s="3"/>
      <c r="C1334" s="3"/>
      <c r="D1334" s="3"/>
    </row>
    <row r="1335" spans="1:4">
      <c r="A1335" s="3"/>
      <c r="B1335" s="3"/>
      <c r="C1335" s="3"/>
      <c r="D1335" s="3"/>
    </row>
    <row r="1336" spans="1:4">
      <c r="A1336" s="3"/>
      <c r="B1336" s="3"/>
      <c r="C1336" s="3"/>
      <c r="D1336" s="3"/>
    </row>
    <row r="1337" spans="1:4">
      <c r="A1337" s="3"/>
      <c r="B1337" s="3"/>
      <c r="C1337" s="3"/>
      <c r="D1337" s="3"/>
    </row>
    <row r="1338" spans="1:4">
      <c r="B1338" s="3"/>
      <c r="C1338" s="3"/>
      <c r="D1338" s="3"/>
    </row>
  </sheetData>
  <sheetProtection algorithmName="SHA-512" hashValue="0MGScwDzJCAPuFcVluXuQ39M8gzdKRKcIaoC6fS1iv/SiE252hlWx9Z3hptJ3i1IfBBbJ+vTwOqZg2FgM3Bb4A==" saltValue="1xhT2xK1R16W1pCp+jHEHg==" spinCount="100000" sheet="1" selectLockedCells="1" selectUnlockedCells="1"/>
  <mergeCells count="17">
    <mergeCell ref="D15:D16"/>
    <mergeCell ref="C15:C19"/>
    <mergeCell ref="D17:D32"/>
    <mergeCell ref="D3:D4"/>
    <mergeCell ref="D5:D6"/>
    <mergeCell ref="D9:D10"/>
    <mergeCell ref="D11:D12"/>
    <mergeCell ref="C3:C7"/>
    <mergeCell ref="C9:C13"/>
    <mergeCell ref="L22:M23"/>
    <mergeCell ref="L25:M34"/>
    <mergeCell ref="L40:M42"/>
    <mergeCell ref="H39:K39"/>
    <mergeCell ref="O3:T3"/>
    <mergeCell ref="K3:K4"/>
    <mergeCell ref="H15:I15"/>
    <mergeCell ref="K19:K20"/>
  </mergeCells>
  <phoneticPr fontId="3" type="noConversion"/>
  <conditionalFormatting sqref="O31:T33">
    <cfRule type="containsText" dxfId="34" priority="46" operator="containsText" text="Correct">
      <formula>NOT(ISERROR(SEARCH("Correct",O31)))</formula>
    </cfRule>
    <cfRule type="containsText" dxfId="33" priority="47" operator="containsText" text="ERROR">
      <formula>NOT(ISERROR(SEARCH("ERROR",O31)))</formula>
    </cfRule>
  </conditionalFormatting>
  <conditionalFormatting sqref="K21:K22 J22 K40">
    <cfRule type="containsText" dxfId="32" priority="43" operator="containsText" text="Caution">
      <formula>NOT(ISERROR(SEARCH("Caution",J21)))</formula>
    </cfRule>
    <cfRule type="containsText" dxfId="31" priority="44" operator="containsText" text="Correct">
      <formula>NOT(ISERROR(SEARCH("Correct",J21)))</formula>
    </cfRule>
    <cfRule type="containsText" dxfId="30" priority="45" operator="containsText" text="ERROR">
      <formula>NOT(ISERROR(SEARCH("ERROR",J21)))</formula>
    </cfRule>
  </conditionalFormatting>
  <conditionalFormatting sqref="K5:K7 K9:K14 K16">
    <cfRule type="containsText" dxfId="29" priority="37" operator="containsText" text="Caution">
      <formula>NOT(ISERROR(SEARCH("Caution",K5)))</formula>
    </cfRule>
    <cfRule type="containsText" dxfId="28" priority="38" operator="containsText" text="Correct">
      <formula>NOT(ISERROR(SEARCH("Correct",K5)))</formula>
    </cfRule>
    <cfRule type="containsText" dxfId="27" priority="39" operator="containsText" text="ERROR">
      <formula>NOT(ISERROR(SEARCH("ERROR",K5)))</formula>
    </cfRule>
  </conditionalFormatting>
  <conditionalFormatting sqref="K25">
    <cfRule type="containsText" dxfId="26" priority="34" operator="containsText" text="Caution">
      <formula>NOT(ISERROR(SEARCH("Caution",K25)))</formula>
    </cfRule>
    <cfRule type="containsText" dxfId="25" priority="35" operator="containsText" text="Correct">
      <formula>NOT(ISERROR(SEARCH("Correct",K25)))</formula>
    </cfRule>
    <cfRule type="containsText" dxfId="24" priority="36" operator="containsText" text="ERROR">
      <formula>NOT(ISERROR(SEARCH("ERROR",K25)))</formula>
    </cfRule>
  </conditionalFormatting>
  <conditionalFormatting sqref="K26:K27">
    <cfRule type="containsText" dxfId="23" priority="31" operator="containsText" text="Caution">
      <formula>NOT(ISERROR(SEARCH("Caution",K26)))</formula>
    </cfRule>
    <cfRule type="containsText" dxfId="22" priority="32" operator="containsText" text="Correct">
      <formula>NOT(ISERROR(SEARCH("Correct",K26)))</formula>
    </cfRule>
    <cfRule type="containsText" dxfId="21" priority="33" operator="containsText" text="ERROR">
      <formula>NOT(ISERROR(SEARCH("ERROR",K26)))</formula>
    </cfRule>
  </conditionalFormatting>
  <conditionalFormatting sqref="J37:K37">
    <cfRule type="containsText" dxfId="20" priority="28" operator="containsText" text="Caution">
      <formula>NOT(ISERROR(SEARCH("Caution",J37)))</formula>
    </cfRule>
    <cfRule type="containsText" dxfId="19" priority="29" operator="containsText" text="Correct">
      <formula>NOT(ISERROR(SEARCH("Correct",J37)))</formula>
    </cfRule>
    <cfRule type="containsText" dxfId="18" priority="30" operator="containsText" text="ERROR">
      <formula>NOT(ISERROR(SEARCH("ERROR",J37)))</formula>
    </cfRule>
  </conditionalFormatting>
  <conditionalFormatting sqref="D3">
    <cfRule type="containsText" dxfId="17" priority="27" operator="containsText" text="Correct">
      <formula>NOT(ISERROR(SEARCH("Correct",D3)))</formula>
    </cfRule>
  </conditionalFormatting>
  <conditionalFormatting sqref="L22 L40">
    <cfRule type="containsText" dxfId="16" priority="26" operator="containsText" text="ERROR">
      <formula>NOT(ISERROR(SEARCH("ERROR",L22)))</formula>
    </cfRule>
  </conditionalFormatting>
  <conditionalFormatting sqref="L25:M34">
    <cfRule type="containsText" dxfId="15" priority="20" operator="containsText" text="Rebalance">
      <formula>NOT(ISERROR(SEARCH("Rebalance",L25)))</formula>
    </cfRule>
    <cfRule type="containsText" dxfId="14" priority="24" operator="containsText" text="ERROR">
      <formula>NOT(ISERROR(SEARCH("ERROR",L25)))</formula>
    </cfRule>
  </conditionalFormatting>
  <conditionalFormatting sqref="K40">
    <cfRule type="containsText" dxfId="13" priority="23" operator="containsText" text="Calculation">
      <formula>NOT(ISERROR(SEARCH("Calculation",K40)))</formula>
    </cfRule>
  </conditionalFormatting>
  <conditionalFormatting sqref="K22">
    <cfRule type="containsText" dxfId="12" priority="22" operator="containsText" text="high">
      <formula>NOT(ISERROR(SEARCH("high",K22)))</formula>
    </cfRule>
  </conditionalFormatting>
  <conditionalFormatting sqref="L22:M23">
    <cfRule type="containsText" dxfId="11" priority="21" operator="containsText" text="You">
      <formula>NOT(ISERROR(SEARCH("You",L22)))</formula>
    </cfRule>
  </conditionalFormatting>
  <conditionalFormatting sqref="D11">
    <cfRule type="containsText" dxfId="10" priority="19" operator="containsText" text="No">
      <formula>NOT(ISERROR(SEARCH("No",D11)))</formula>
    </cfRule>
  </conditionalFormatting>
  <conditionalFormatting sqref="K26">
    <cfRule type="containsText" dxfId="9" priority="16" operator="containsText" text="Did">
      <formula>NOT(ISERROR(SEARCH("Did",K26)))</formula>
    </cfRule>
  </conditionalFormatting>
  <conditionalFormatting sqref="K28:K34">
    <cfRule type="containsText" dxfId="8" priority="12" operator="containsText" text="Okay">
      <formula>NOT(ISERROR(SEARCH("Okay",K28)))</formula>
    </cfRule>
    <cfRule type="containsText" dxfId="7" priority="13" operator="containsText" text="ERROR">
      <formula>NOT(ISERROR(SEARCH("ERROR",K28)))</formula>
    </cfRule>
    <cfRule type="containsText" dxfId="6" priority="14" operator="containsText" text="Correct">
      <formula>NOT(ISERROR(SEARCH("Correct",K28)))</formula>
    </cfRule>
  </conditionalFormatting>
  <conditionalFormatting sqref="D5:D7">
    <cfRule type="cellIs" dxfId="5" priority="5" operator="between">
      <formula>20</formula>
      <formula>42</formula>
    </cfRule>
    <cfRule type="cellIs" dxfId="4" priority="6" operator="lessThan">
      <formula>20</formula>
    </cfRule>
  </conditionalFormatting>
  <conditionalFormatting sqref="D9">
    <cfRule type="containsText" dxfId="3" priority="4" operator="containsText" text="Correct">
      <formula>NOT(ISERROR(SEARCH("Correct",D9)))</formula>
    </cfRule>
  </conditionalFormatting>
  <conditionalFormatting sqref="D15">
    <cfRule type="containsText" dxfId="2" priority="3" operator="containsText" text="Correct">
      <formula>NOT(ISERROR(SEARCH("Correct",D15)))</formula>
    </cfRule>
  </conditionalFormatting>
  <conditionalFormatting sqref="D11:D12">
    <cfRule type="containsText" dxfId="1" priority="2" operator="containsText" text="Calculation">
      <formula>NOT(ISERROR(SEARCH("Calculation",D11)))</formula>
    </cfRule>
    <cfRule type="containsText" dxfId="0" priority="1" operator="containsText" text="Error">
      <formula>NOT(ISERROR(SEARCH("Error",D11)))</formula>
    </cfRule>
  </conditionalFormatting>
  <dataValidations disablePrompts="1" count="3">
    <dataValidation type="list" allowBlank="1" showInputMessage="1" showErrorMessage="1" sqref="T12" xr:uid="{00000000-0002-0000-0100-000000000000}">
      <formula1>$DS$2:$DS$11</formula1>
    </dataValidation>
    <dataValidation type="list" allowBlank="1" showInputMessage="1" showErrorMessage="1" sqref="R44:R91" xr:uid="{00000000-0002-0000-0100-000001000000}">
      <formula1>$I$19:$I$24</formula1>
    </dataValidation>
    <dataValidation type="list" allowBlank="1" showInputMessage="1" showErrorMessage="1" sqref="S12" xr:uid="{00000000-0002-0000-0100-000002000000}">
      <formula1>$K$19:$K$35</formula1>
    </dataValidation>
  </dataValidations>
  <pageMargins left="0.75" right="0.75" top="0.75" bottom="0.75" header="0.3" footer="0.3"/>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9.9978637043366805E-2"/>
    <pageSetUpPr fitToPage="1"/>
  </sheetPr>
  <dimension ref="A1:DD1352"/>
  <sheetViews>
    <sheetView topLeftCell="C1" zoomScale="79" zoomScaleNormal="79" zoomScalePageLayoutView="79" workbookViewId="0">
      <selection activeCell="D3" sqref="D3"/>
    </sheetView>
  </sheetViews>
  <sheetFormatPr defaultColWidth="7.5" defaultRowHeight="20.25"/>
  <cols>
    <col min="1" max="2" width="1.875" style="9" customWidth="1"/>
    <col min="3" max="3" width="8" style="1" customWidth="1"/>
    <col min="4" max="4" width="5.375" style="1" customWidth="1"/>
    <col min="5" max="5" width="5.625" style="1" customWidth="1"/>
    <col min="6" max="6" width="32" style="3" customWidth="1"/>
    <col min="7" max="8" width="20" style="3" customWidth="1"/>
    <col min="9" max="10" width="9.125" style="2" customWidth="1"/>
    <col min="11" max="11" width="9.5" style="34" bestFit="1" customWidth="1"/>
    <col min="12" max="12" width="27.875" style="8" customWidth="1"/>
    <col min="13" max="13" width="41.125" style="8" customWidth="1"/>
    <col min="14" max="14" width="13.375" style="41" customWidth="1"/>
    <col min="15" max="15" width="29.375" style="8" customWidth="1"/>
    <col min="16" max="16" width="43.125" style="8" customWidth="1"/>
    <col min="17" max="17" width="7.5" style="9" customWidth="1"/>
    <col min="18" max="18" width="1.375" style="9" customWidth="1"/>
    <col min="19" max="107" width="7.5" style="9"/>
    <col min="108" max="108" width="16.5" style="9" customWidth="1"/>
    <col min="109" max="16384" width="7.5" style="3"/>
  </cols>
  <sheetData>
    <row r="1" spans="1:108">
      <c r="A1" s="85"/>
      <c r="B1" s="85"/>
      <c r="C1" s="86"/>
      <c r="D1" s="86"/>
      <c r="E1" s="86"/>
      <c r="F1" s="85"/>
      <c r="G1" s="85"/>
      <c r="H1" s="85"/>
      <c r="I1" s="85"/>
      <c r="J1" s="85"/>
      <c r="K1" s="87"/>
      <c r="L1" s="88"/>
      <c r="M1" s="88"/>
      <c r="N1" s="89"/>
      <c r="O1" s="88"/>
      <c r="P1" s="88"/>
      <c r="Q1" s="85"/>
      <c r="R1" s="85"/>
    </row>
    <row r="2" spans="1:108" s="9" customFormat="1" ht="27" customHeight="1">
      <c r="A2" s="85"/>
      <c r="C2" s="16"/>
      <c r="D2" s="84"/>
      <c r="E2" s="84"/>
      <c r="F2" s="84"/>
      <c r="G2" s="54"/>
      <c r="Q2" s="51"/>
      <c r="R2" s="85"/>
      <c r="DD2" s="52" t="s">
        <v>8</v>
      </c>
    </row>
    <row r="3" spans="1:108" s="9" customFormat="1" ht="27" customHeight="1">
      <c r="A3" s="85"/>
      <c r="C3" s="16"/>
      <c r="D3" s="1"/>
      <c r="E3" s="106" t="s">
        <v>62</v>
      </c>
      <c r="F3" s="2"/>
      <c r="G3" s="54"/>
      <c r="H3" s="54"/>
      <c r="K3" s="370" t="s">
        <v>60</v>
      </c>
      <c r="L3" s="371"/>
      <c r="M3" s="371"/>
      <c r="N3" s="371"/>
      <c r="O3" s="371"/>
      <c r="P3" s="372"/>
      <c r="Q3" s="51"/>
      <c r="R3" s="85"/>
      <c r="DD3" s="52"/>
    </row>
    <row r="4" spans="1:108" ht="27" customHeight="1">
      <c r="A4" s="85"/>
      <c r="C4" s="16"/>
      <c r="F4" s="2"/>
      <c r="H4" s="103" t="s">
        <v>50</v>
      </c>
      <c r="K4" s="28"/>
      <c r="L4" s="15"/>
      <c r="M4" s="15"/>
      <c r="N4" s="35"/>
      <c r="O4" s="15"/>
      <c r="P4" s="15"/>
      <c r="R4" s="85"/>
      <c r="DD4" s="52" t="s">
        <v>5</v>
      </c>
    </row>
    <row r="5" spans="1:108" ht="27" customHeight="1" thickBot="1">
      <c r="A5" s="85"/>
      <c r="E5" s="65"/>
      <c r="F5" s="66"/>
      <c r="G5" s="67"/>
      <c r="H5" s="55" t="s">
        <v>61</v>
      </c>
      <c r="K5" s="74" t="s">
        <v>9</v>
      </c>
      <c r="L5" s="75" t="s">
        <v>17</v>
      </c>
      <c r="M5" s="75" t="s">
        <v>18</v>
      </c>
      <c r="N5" s="76" t="s">
        <v>16</v>
      </c>
      <c r="O5" s="75" t="s">
        <v>10</v>
      </c>
      <c r="P5" s="75" t="s">
        <v>19</v>
      </c>
      <c r="R5" s="85"/>
      <c r="DD5" s="52" t="s">
        <v>12</v>
      </c>
    </row>
    <row r="6" spans="1:108" ht="27" customHeight="1" thickBot="1">
      <c r="A6" s="85"/>
      <c r="E6" s="61" t="s">
        <v>41</v>
      </c>
      <c r="F6" s="68"/>
      <c r="G6" s="69" t="s">
        <v>30</v>
      </c>
      <c r="H6" s="56" t="s">
        <v>11</v>
      </c>
      <c r="K6" s="29"/>
      <c r="L6" s="13"/>
      <c r="M6" s="20"/>
      <c r="N6" s="36"/>
      <c r="O6" s="10"/>
      <c r="P6" s="21"/>
      <c r="Q6" s="14"/>
      <c r="R6" s="90"/>
      <c r="S6" s="14"/>
      <c r="T6" s="14"/>
      <c r="U6" s="14"/>
      <c r="V6" s="14"/>
      <c r="W6" s="14"/>
      <c r="X6" s="14"/>
      <c r="Y6" s="14"/>
      <c r="Z6" s="14"/>
      <c r="AA6" s="14"/>
      <c r="AB6" s="14"/>
      <c r="AC6" s="14"/>
      <c r="AD6" s="14"/>
      <c r="AE6" s="14"/>
      <c r="AF6" s="14"/>
      <c r="AG6" s="14"/>
      <c r="AH6" s="14"/>
      <c r="AI6" s="14"/>
      <c r="AJ6" s="14"/>
      <c r="AK6" s="14"/>
      <c r="AL6" s="14"/>
      <c r="AM6" s="14"/>
      <c r="AN6" s="14"/>
      <c r="AO6" s="14"/>
      <c r="AP6" s="14"/>
      <c r="DD6" s="53" t="s">
        <v>37</v>
      </c>
    </row>
    <row r="7" spans="1:108" s="4" customFormat="1" ht="27" customHeight="1">
      <c r="A7" s="90"/>
      <c r="B7" s="14"/>
      <c r="C7" s="373"/>
      <c r="D7" s="6"/>
      <c r="E7" s="6"/>
      <c r="F7" s="60" t="s">
        <v>63</v>
      </c>
      <c r="G7" s="91">
        <f>SUMIF($O$6:$O$220,F7,$N$6:$N$220)</f>
        <v>0</v>
      </c>
      <c r="H7" s="57"/>
      <c r="I7" s="6"/>
      <c r="J7" s="6"/>
      <c r="K7" s="30"/>
      <c r="L7" s="11"/>
      <c r="M7" s="12"/>
      <c r="N7" s="37"/>
      <c r="O7" s="11"/>
      <c r="P7" s="22"/>
      <c r="Q7" s="14"/>
      <c r="R7" s="90"/>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53" t="s">
        <v>39</v>
      </c>
    </row>
    <row r="8" spans="1:108" s="4" customFormat="1" ht="27" customHeight="1">
      <c r="A8" s="90"/>
      <c r="B8" s="14"/>
      <c r="C8" s="409"/>
      <c r="D8" s="6"/>
      <c r="E8" s="6"/>
      <c r="F8" s="60" t="s">
        <v>64</v>
      </c>
      <c r="G8" s="91">
        <f>SUMIF($O$6:$O$220,F8,$N$6:$N$220)</f>
        <v>0</v>
      </c>
      <c r="H8" s="58"/>
      <c r="I8" s="6"/>
      <c r="J8" s="6"/>
      <c r="K8" s="30"/>
      <c r="L8" s="12"/>
      <c r="M8" s="12"/>
      <c r="N8" s="37"/>
      <c r="O8" s="11"/>
      <c r="P8" s="22"/>
      <c r="Q8" s="14"/>
      <c r="R8" s="90"/>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53" t="s">
        <v>38</v>
      </c>
    </row>
    <row r="9" spans="1:108" s="4" customFormat="1" ht="27" customHeight="1" thickBot="1">
      <c r="A9" s="90"/>
      <c r="B9" s="14"/>
      <c r="C9" s="409"/>
      <c r="D9" s="6"/>
      <c r="E9" s="6"/>
      <c r="F9" s="73" t="s">
        <v>68</v>
      </c>
      <c r="G9" s="92">
        <f>SUMIF($O$6:$O$220,F9,$N$6:$N$220)</f>
        <v>0</v>
      </c>
      <c r="H9" s="59"/>
      <c r="I9" s="6"/>
      <c r="J9" s="6"/>
      <c r="K9" s="30"/>
      <c r="L9" s="12"/>
      <c r="M9" s="12"/>
      <c r="N9" s="37"/>
      <c r="O9" s="11"/>
      <c r="P9" s="22"/>
      <c r="Q9" s="14"/>
      <c r="R9" s="90"/>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row>
    <row r="10" spans="1:108" s="4" customFormat="1" ht="27" customHeight="1" thickBot="1">
      <c r="A10" s="90"/>
      <c r="B10" s="14"/>
      <c r="C10" s="5"/>
      <c r="D10" s="6"/>
      <c r="E10" s="64"/>
      <c r="F10" s="63" t="s">
        <v>44</v>
      </c>
      <c r="G10" s="93">
        <f>SUM(G7:G9)</f>
        <v>0</v>
      </c>
      <c r="H10" s="71">
        <f>SUM(H7:H9)</f>
        <v>0</v>
      </c>
      <c r="I10" s="6"/>
      <c r="J10" s="6"/>
      <c r="K10" s="30"/>
      <c r="L10" s="13"/>
      <c r="M10" s="12"/>
      <c r="N10" s="38"/>
      <c r="O10" s="12"/>
      <c r="P10" s="22"/>
      <c r="Q10" s="14"/>
      <c r="R10" s="90"/>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row>
    <row r="11" spans="1:108" s="4" customFormat="1" ht="27" customHeight="1" thickBot="1">
      <c r="A11" s="90"/>
      <c r="B11" s="14"/>
      <c r="C11" s="373"/>
      <c r="D11" s="6"/>
      <c r="E11" s="62" t="s">
        <v>43</v>
      </c>
      <c r="F11" s="61"/>
      <c r="G11" s="70" t="s">
        <v>30</v>
      </c>
      <c r="H11" s="72" t="s">
        <v>6</v>
      </c>
      <c r="I11" s="6"/>
      <c r="J11" s="6"/>
      <c r="K11" s="30"/>
      <c r="L11" s="12"/>
      <c r="M11" s="12"/>
      <c r="N11" s="38"/>
      <c r="O11" s="11"/>
      <c r="P11" s="22"/>
      <c r="Q11" s="14"/>
      <c r="R11" s="90"/>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row>
    <row r="12" spans="1:108" s="4" customFormat="1" ht="27" customHeight="1">
      <c r="A12" s="90"/>
      <c r="B12" s="14"/>
      <c r="C12" s="409"/>
      <c r="D12" s="5"/>
      <c r="E12" s="5"/>
      <c r="F12" s="60" t="s">
        <v>65</v>
      </c>
      <c r="G12" s="91">
        <f t="shared" ref="G12:G38" si="0">SUMIF($O$6:$O$220,F12,$N$6:$N$220)</f>
        <v>0</v>
      </c>
      <c r="H12" s="57"/>
      <c r="I12" s="6"/>
      <c r="J12" s="6"/>
      <c r="K12" s="30"/>
      <c r="L12" s="13"/>
      <c r="M12" s="12"/>
      <c r="N12" s="38"/>
      <c r="O12" s="12"/>
      <c r="P12" s="22"/>
      <c r="Q12" s="14"/>
      <c r="R12" s="90"/>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row>
    <row r="13" spans="1:108" s="4" customFormat="1" ht="27" customHeight="1">
      <c r="A13" s="90"/>
      <c r="B13" s="14"/>
      <c r="C13" s="5"/>
      <c r="D13" s="5"/>
      <c r="E13" s="5"/>
      <c r="F13" s="60" t="s">
        <v>66</v>
      </c>
      <c r="G13" s="91">
        <f t="shared" si="0"/>
        <v>0</v>
      </c>
      <c r="H13" s="58"/>
      <c r="I13" s="6"/>
      <c r="J13" s="6"/>
      <c r="K13" s="30"/>
      <c r="L13" s="13"/>
      <c r="M13" s="12"/>
      <c r="N13" s="38"/>
      <c r="O13" s="12"/>
      <c r="P13" s="22"/>
      <c r="Q13" s="14"/>
      <c r="R13" s="90"/>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row>
    <row r="14" spans="1:108" s="4" customFormat="1" ht="27" customHeight="1">
      <c r="A14" s="90"/>
      <c r="B14" s="14"/>
      <c r="C14" s="5"/>
      <c r="D14" s="5"/>
      <c r="E14" s="5"/>
      <c r="F14" s="60" t="s">
        <v>67</v>
      </c>
      <c r="G14" s="91">
        <f t="shared" si="0"/>
        <v>0</v>
      </c>
      <c r="H14" s="58"/>
      <c r="I14" s="6"/>
      <c r="J14" s="6"/>
      <c r="K14" s="30"/>
      <c r="L14" s="13"/>
      <c r="M14" s="12"/>
      <c r="N14" s="38"/>
      <c r="O14" s="12"/>
      <c r="P14" s="22"/>
      <c r="Q14" s="14"/>
      <c r="R14" s="90"/>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row>
    <row r="15" spans="1:108" s="4" customFormat="1" ht="27" customHeight="1">
      <c r="A15" s="90"/>
      <c r="B15" s="14"/>
      <c r="C15" s="5"/>
      <c r="D15" s="5"/>
      <c r="E15" s="5"/>
      <c r="F15" s="60" t="s">
        <v>68</v>
      </c>
      <c r="G15" s="91">
        <f t="shared" si="0"/>
        <v>0</v>
      </c>
      <c r="H15" s="58"/>
      <c r="I15" s="6"/>
      <c r="J15" s="6"/>
      <c r="K15" s="30"/>
      <c r="L15" s="13"/>
      <c r="M15" s="12"/>
      <c r="N15" s="38"/>
      <c r="O15" s="12"/>
      <c r="P15" s="22"/>
      <c r="Q15" s="14"/>
      <c r="R15" s="90"/>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row>
    <row r="16" spans="1:108" s="4" customFormat="1" ht="27" customHeight="1">
      <c r="A16" s="90"/>
      <c r="B16" s="14"/>
      <c r="C16" s="5"/>
      <c r="D16" s="5"/>
      <c r="E16" s="5"/>
      <c r="F16" s="60"/>
      <c r="G16" s="91">
        <f t="shared" si="0"/>
        <v>0</v>
      </c>
      <c r="H16" s="58"/>
      <c r="I16" s="6"/>
      <c r="J16" s="6"/>
      <c r="K16" s="30"/>
      <c r="L16" s="12"/>
      <c r="M16" s="12"/>
      <c r="N16" s="38"/>
      <c r="O16" s="12"/>
      <c r="P16" s="22"/>
      <c r="Q16" s="14"/>
      <c r="R16" s="90"/>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row>
    <row r="17" spans="1:108" s="4" customFormat="1" ht="27" customHeight="1">
      <c r="A17" s="90"/>
      <c r="B17" s="14"/>
      <c r="C17" s="5"/>
      <c r="D17" s="5"/>
      <c r="E17" s="5"/>
      <c r="F17" s="60"/>
      <c r="G17" s="91">
        <f t="shared" si="0"/>
        <v>0</v>
      </c>
      <c r="H17" s="58"/>
      <c r="I17" s="6"/>
      <c r="J17" s="6"/>
      <c r="K17" s="31"/>
      <c r="L17" s="12"/>
      <c r="M17" s="12"/>
      <c r="N17" s="38"/>
      <c r="O17" s="12"/>
      <c r="P17" s="23"/>
      <c r="Q17" s="14"/>
      <c r="R17" s="90"/>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row>
    <row r="18" spans="1:108" s="4" customFormat="1" ht="27" customHeight="1">
      <c r="A18" s="90"/>
      <c r="B18" s="14"/>
      <c r="C18" s="5"/>
      <c r="D18" s="5"/>
      <c r="E18" s="5"/>
      <c r="F18" s="60"/>
      <c r="G18" s="91">
        <f t="shared" si="0"/>
        <v>0</v>
      </c>
      <c r="H18" s="58"/>
      <c r="I18" s="6"/>
      <c r="J18" s="6"/>
      <c r="K18" s="30"/>
      <c r="L18" s="13"/>
      <c r="M18" s="12"/>
      <c r="N18" s="38"/>
      <c r="O18" s="12"/>
      <c r="P18" s="22"/>
      <c r="Q18" s="14"/>
      <c r="R18" s="90"/>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row>
    <row r="19" spans="1:108" s="4" customFormat="1" ht="27" customHeight="1">
      <c r="A19" s="90"/>
      <c r="B19" s="14"/>
      <c r="C19" s="5"/>
      <c r="D19" s="5"/>
      <c r="E19" s="5"/>
      <c r="F19" s="60"/>
      <c r="G19" s="91">
        <f t="shared" si="0"/>
        <v>0</v>
      </c>
      <c r="H19" s="58"/>
      <c r="I19" s="6"/>
      <c r="J19" s="6"/>
      <c r="K19" s="31"/>
      <c r="L19" s="11"/>
      <c r="M19" s="12"/>
      <c r="N19" s="37"/>
      <c r="O19" s="11"/>
      <c r="P19" s="23"/>
      <c r="Q19" s="14"/>
      <c r="R19" s="90"/>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row>
    <row r="20" spans="1:108" s="4" customFormat="1" ht="27" customHeight="1">
      <c r="A20" s="90"/>
      <c r="B20" s="14"/>
      <c r="C20" s="5"/>
      <c r="D20" s="5"/>
      <c r="E20" s="5"/>
      <c r="F20" s="60"/>
      <c r="G20" s="91">
        <f t="shared" si="0"/>
        <v>0</v>
      </c>
      <c r="H20" s="58"/>
      <c r="I20" s="6"/>
      <c r="J20" s="6"/>
      <c r="K20" s="30"/>
      <c r="L20" s="13"/>
      <c r="M20" s="12"/>
      <c r="N20" s="38"/>
      <c r="O20" s="12"/>
      <c r="P20" s="22"/>
      <c r="Q20" s="14"/>
      <c r="R20" s="90"/>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row>
    <row r="21" spans="1:108" s="4" customFormat="1" ht="27" customHeight="1">
      <c r="A21" s="90"/>
      <c r="B21" s="14"/>
      <c r="C21" s="5"/>
      <c r="D21" s="5"/>
      <c r="E21" s="5"/>
      <c r="F21" s="60"/>
      <c r="G21" s="91">
        <f t="shared" si="0"/>
        <v>0</v>
      </c>
      <c r="H21" s="58"/>
      <c r="I21" s="6"/>
      <c r="J21" s="6"/>
      <c r="K21" s="31"/>
      <c r="L21" s="11"/>
      <c r="M21" s="12"/>
      <c r="N21" s="37"/>
      <c r="O21" s="11"/>
      <c r="P21" s="23"/>
      <c r="Q21" s="14"/>
      <c r="R21" s="90"/>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row>
    <row r="22" spans="1:108" s="4" customFormat="1" ht="27" customHeight="1">
      <c r="A22" s="90"/>
      <c r="B22" s="14"/>
      <c r="C22" s="5"/>
      <c r="D22" s="5"/>
      <c r="E22" s="5"/>
      <c r="F22" s="60"/>
      <c r="G22" s="91">
        <f t="shared" si="0"/>
        <v>0</v>
      </c>
      <c r="H22" s="58"/>
      <c r="I22" s="6"/>
      <c r="J22" s="104"/>
      <c r="K22" s="30"/>
      <c r="L22" s="13"/>
      <c r="M22" s="12"/>
      <c r="N22" s="38"/>
      <c r="O22" s="12"/>
      <c r="P22" s="22"/>
      <c r="Q22" s="14"/>
      <c r="R22" s="90"/>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row>
    <row r="23" spans="1:108" s="4" customFormat="1" ht="27" customHeight="1">
      <c r="A23" s="90"/>
      <c r="B23" s="14"/>
      <c r="C23" s="5"/>
      <c r="D23" s="5"/>
      <c r="E23" s="5"/>
      <c r="F23" s="60"/>
      <c r="G23" s="91">
        <f t="shared" si="0"/>
        <v>0</v>
      </c>
      <c r="H23" s="58"/>
      <c r="I23" s="6"/>
      <c r="J23" s="104"/>
      <c r="K23" s="31"/>
      <c r="L23" s="11"/>
      <c r="M23" s="12"/>
      <c r="N23" s="37"/>
      <c r="O23" s="11"/>
      <c r="P23" s="23"/>
      <c r="Q23" s="9"/>
      <c r="R23" s="85"/>
      <c r="S23" s="9"/>
      <c r="T23" s="9"/>
      <c r="U23" s="9"/>
      <c r="V23" s="9"/>
      <c r="W23" s="9"/>
      <c r="X23" s="9"/>
      <c r="Y23" s="9"/>
      <c r="Z23" s="9"/>
      <c r="AA23" s="9"/>
      <c r="AB23" s="9"/>
      <c r="AC23" s="9"/>
      <c r="AD23" s="9"/>
      <c r="AE23" s="9"/>
      <c r="AF23" s="9"/>
      <c r="AG23" s="9"/>
      <c r="AH23" s="9"/>
      <c r="AI23" s="9"/>
      <c r="AJ23" s="9"/>
      <c r="AK23" s="9"/>
      <c r="AL23" s="9"/>
      <c r="AM23" s="9"/>
      <c r="AN23" s="9"/>
      <c r="AO23" s="9"/>
      <c r="AP23" s="9"/>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9"/>
    </row>
    <row r="24" spans="1:108" ht="27" customHeight="1">
      <c r="A24" s="85"/>
      <c r="F24" s="60"/>
      <c r="G24" s="91">
        <f t="shared" si="0"/>
        <v>0</v>
      </c>
      <c r="H24" s="58"/>
      <c r="J24" s="104"/>
      <c r="K24" s="30"/>
      <c r="L24" s="13"/>
      <c r="M24" s="12"/>
      <c r="N24" s="38"/>
      <c r="O24" s="12"/>
      <c r="P24" s="22"/>
      <c r="R24" s="85"/>
    </row>
    <row r="25" spans="1:108" ht="27" customHeight="1">
      <c r="A25" s="85"/>
      <c r="F25" s="60"/>
      <c r="G25" s="91">
        <f t="shared" si="0"/>
        <v>0</v>
      </c>
      <c r="H25" s="58"/>
      <c r="K25" s="31"/>
      <c r="L25" s="11"/>
      <c r="M25" s="12"/>
      <c r="N25" s="37"/>
      <c r="O25" s="11"/>
      <c r="P25" s="23"/>
      <c r="R25" s="85"/>
      <c r="T25" s="14"/>
      <c r="U25" s="14"/>
      <c r="V25" s="14"/>
      <c r="W25" s="14"/>
    </row>
    <row r="26" spans="1:108" ht="27" customHeight="1">
      <c r="A26" s="85"/>
      <c r="F26" s="60"/>
      <c r="G26" s="91">
        <f t="shared" si="0"/>
        <v>0</v>
      </c>
      <c r="H26" s="58"/>
      <c r="K26" s="30"/>
      <c r="L26" s="13"/>
      <c r="M26" s="12"/>
      <c r="N26" s="38"/>
      <c r="O26" s="12"/>
      <c r="P26" s="22"/>
      <c r="R26" s="85"/>
    </row>
    <row r="27" spans="1:108" ht="27" customHeight="1">
      <c r="A27" s="85"/>
      <c r="D27" s="5"/>
      <c r="E27" s="5"/>
      <c r="F27" s="60"/>
      <c r="G27" s="91">
        <f t="shared" si="0"/>
        <v>0</v>
      </c>
      <c r="H27" s="58"/>
      <c r="K27" s="31"/>
      <c r="L27" s="11"/>
      <c r="M27" s="12"/>
      <c r="N27" s="37"/>
      <c r="O27" s="11"/>
      <c r="P27" s="23"/>
      <c r="Q27" s="14"/>
      <c r="R27" s="90"/>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DD27" s="14"/>
    </row>
    <row r="28" spans="1:108" s="4" customFormat="1" ht="27" customHeight="1">
      <c r="A28" s="90"/>
      <c r="B28" s="14"/>
      <c r="C28" s="5"/>
      <c r="D28" s="5"/>
      <c r="E28" s="5"/>
      <c r="F28" s="60"/>
      <c r="G28" s="91">
        <f t="shared" si="0"/>
        <v>0</v>
      </c>
      <c r="H28" s="58"/>
      <c r="I28" s="6"/>
      <c r="J28" s="6"/>
      <c r="K28" s="30"/>
      <c r="L28" s="12"/>
      <c r="M28" s="12"/>
      <c r="N28" s="38"/>
      <c r="O28" s="11"/>
      <c r="P28" s="22"/>
      <c r="Q28" s="14"/>
      <c r="R28" s="90"/>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row>
    <row r="29" spans="1:108" s="4" customFormat="1" ht="27" customHeight="1">
      <c r="A29" s="90"/>
      <c r="B29" s="14"/>
      <c r="C29" s="5"/>
      <c r="D29" s="5"/>
      <c r="E29" s="5"/>
      <c r="F29" s="60"/>
      <c r="G29" s="91">
        <f t="shared" si="0"/>
        <v>0</v>
      </c>
      <c r="H29" s="105"/>
      <c r="I29" s="6"/>
      <c r="J29" s="6"/>
      <c r="K29" s="30"/>
      <c r="L29" s="12"/>
      <c r="M29" s="12"/>
      <c r="N29" s="38"/>
      <c r="O29" s="11"/>
      <c r="P29" s="22"/>
      <c r="Q29" s="14"/>
      <c r="R29" s="90"/>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row>
    <row r="30" spans="1:108" s="4" customFormat="1" ht="27" customHeight="1">
      <c r="A30" s="90"/>
      <c r="B30" s="14"/>
      <c r="C30" s="5"/>
      <c r="D30" s="5"/>
      <c r="E30" s="5"/>
      <c r="F30" s="60"/>
      <c r="G30" s="91">
        <f t="shared" si="0"/>
        <v>0</v>
      </c>
      <c r="H30" s="105"/>
      <c r="I30" s="6"/>
      <c r="J30" s="6"/>
      <c r="K30" s="30"/>
      <c r="L30" s="12"/>
      <c r="M30" s="12"/>
      <c r="N30" s="38"/>
      <c r="O30" s="11"/>
      <c r="P30" s="22"/>
      <c r="Q30" s="14"/>
      <c r="R30" s="90"/>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row>
    <row r="31" spans="1:108" s="4" customFormat="1" ht="27" customHeight="1">
      <c r="A31" s="90"/>
      <c r="B31" s="14"/>
      <c r="C31" s="5"/>
      <c r="D31" s="5"/>
      <c r="E31" s="5"/>
      <c r="F31" s="60"/>
      <c r="G31" s="91">
        <f t="shared" si="0"/>
        <v>0</v>
      </c>
      <c r="H31" s="105"/>
      <c r="I31" s="6"/>
      <c r="J31" s="6"/>
      <c r="K31" s="30"/>
      <c r="L31" s="12"/>
      <c r="M31" s="12"/>
      <c r="N31" s="38"/>
      <c r="O31" s="11"/>
      <c r="P31" s="22"/>
      <c r="Q31" s="14"/>
      <c r="R31" s="90"/>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row>
    <row r="32" spans="1:108" s="4" customFormat="1" ht="27" customHeight="1">
      <c r="A32" s="90"/>
      <c r="B32" s="14"/>
      <c r="C32" s="5"/>
      <c r="D32" s="5"/>
      <c r="E32" s="5"/>
      <c r="F32" s="60"/>
      <c r="G32" s="91">
        <f t="shared" si="0"/>
        <v>0</v>
      </c>
      <c r="H32" s="105"/>
      <c r="I32" s="6"/>
      <c r="J32" s="6"/>
      <c r="K32" s="30"/>
      <c r="L32" s="12"/>
      <c r="M32" s="12"/>
      <c r="N32" s="38"/>
      <c r="O32" s="11"/>
      <c r="P32" s="22"/>
      <c r="Q32" s="14"/>
      <c r="R32" s="90"/>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row>
    <row r="33" spans="1:108" s="4" customFormat="1" ht="27" customHeight="1">
      <c r="A33" s="90"/>
      <c r="B33" s="14"/>
      <c r="C33" s="5"/>
      <c r="D33" s="5"/>
      <c r="E33" s="5"/>
      <c r="F33" s="60"/>
      <c r="G33" s="91">
        <f t="shared" si="0"/>
        <v>0</v>
      </c>
      <c r="H33" s="105"/>
      <c r="I33" s="6"/>
      <c r="J33" s="6"/>
      <c r="K33" s="30"/>
      <c r="L33" s="12"/>
      <c r="M33" s="12"/>
      <c r="N33" s="38"/>
      <c r="O33" s="11"/>
      <c r="P33" s="22"/>
      <c r="Q33" s="14"/>
      <c r="R33" s="90"/>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row>
    <row r="34" spans="1:108" s="4" customFormat="1" ht="27" customHeight="1">
      <c r="A34" s="90"/>
      <c r="B34" s="14"/>
      <c r="C34" s="5"/>
      <c r="D34" s="5"/>
      <c r="E34" s="5"/>
      <c r="F34" s="60"/>
      <c r="G34" s="91">
        <f t="shared" si="0"/>
        <v>0</v>
      </c>
      <c r="H34" s="105"/>
      <c r="I34" s="6"/>
      <c r="J34" s="6"/>
      <c r="K34" s="30"/>
      <c r="L34" s="12"/>
      <c r="M34" s="12"/>
      <c r="N34" s="38"/>
      <c r="O34" s="11"/>
      <c r="P34" s="22"/>
      <c r="Q34" s="14"/>
      <c r="R34" s="90"/>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row>
    <row r="35" spans="1:108" s="4" customFormat="1" ht="27" customHeight="1">
      <c r="A35" s="90"/>
      <c r="B35" s="14"/>
      <c r="C35" s="5"/>
      <c r="D35" s="5"/>
      <c r="E35" s="5"/>
      <c r="F35" s="60"/>
      <c r="G35" s="91">
        <f t="shared" si="0"/>
        <v>0</v>
      </c>
      <c r="H35" s="105"/>
      <c r="I35" s="6"/>
      <c r="J35" s="6"/>
      <c r="K35" s="30"/>
      <c r="L35" s="12"/>
      <c r="M35" s="12"/>
      <c r="N35" s="38"/>
      <c r="O35" s="11"/>
      <c r="P35" s="22"/>
      <c r="Q35" s="14"/>
      <c r="R35" s="90"/>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row>
    <row r="36" spans="1:108" s="4" customFormat="1" ht="27" customHeight="1">
      <c r="A36" s="90"/>
      <c r="B36" s="14"/>
      <c r="C36" s="5"/>
      <c r="D36" s="5"/>
      <c r="E36" s="5"/>
      <c r="F36" s="60"/>
      <c r="G36" s="91">
        <f t="shared" si="0"/>
        <v>0</v>
      </c>
      <c r="H36" s="105"/>
      <c r="I36" s="6"/>
      <c r="J36" s="6"/>
      <c r="K36" s="30"/>
      <c r="L36" s="12"/>
      <c r="M36" s="12"/>
      <c r="N36" s="38"/>
      <c r="O36" s="11"/>
      <c r="P36" s="22"/>
      <c r="Q36" s="14"/>
      <c r="R36" s="90"/>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row>
    <row r="37" spans="1:108" s="4" customFormat="1" ht="27" customHeight="1">
      <c r="A37" s="90"/>
      <c r="B37" s="14"/>
      <c r="C37" s="5"/>
      <c r="D37" s="5"/>
      <c r="E37" s="5"/>
      <c r="F37" s="60"/>
      <c r="G37" s="91">
        <f t="shared" si="0"/>
        <v>0</v>
      </c>
      <c r="H37" s="105"/>
      <c r="I37" s="6"/>
      <c r="J37" s="6"/>
      <c r="K37" s="30"/>
      <c r="L37" s="12"/>
      <c r="M37" s="12"/>
      <c r="N37" s="38"/>
      <c r="O37" s="11"/>
      <c r="P37" s="22"/>
      <c r="Q37" s="14"/>
      <c r="R37" s="90"/>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row>
    <row r="38" spans="1:108" s="4" customFormat="1" ht="27" customHeight="1" thickBot="1">
      <c r="A38" s="90"/>
      <c r="B38" s="14"/>
      <c r="C38" s="5"/>
      <c r="D38" s="5"/>
      <c r="E38" s="5"/>
      <c r="F38" s="60"/>
      <c r="G38" s="91">
        <f t="shared" si="0"/>
        <v>0</v>
      </c>
      <c r="H38" s="59"/>
      <c r="I38" s="6"/>
      <c r="J38" s="6"/>
      <c r="K38" s="30"/>
      <c r="L38" s="12"/>
      <c r="M38" s="12"/>
      <c r="N38" s="38"/>
      <c r="O38" s="11"/>
      <c r="P38" s="25"/>
      <c r="Q38" s="14"/>
      <c r="R38" s="90"/>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row>
    <row r="39" spans="1:108" s="4" customFormat="1" ht="27" customHeight="1">
      <c r="A39" s="90"/>
      <c r="B39" s="14"/>
      <c r="C39" s="5"/>
      <c r="D39" s="5"/>
      <c r="E39" s="6"/>
      <c r="F39" s="77" t="s">
        <v>45</v>
      </c>
      <c r="G39" s="94">
        <f>SUM(G12:G38)</f>
        <v>0</v>
      </c>
      <c r="H39" s="81">
        <f>SUM(H12:H38)</f>
        <v>0</v>
      </c>
      <c r="I39" s="6"/>
      <c r="J39" s="6"/>
      <c r="K39" s="30"/>
      <c r="L39" s="12"/>
      <c r="M39" s="12"/>
      <c r="N39" s="38"/>
      <c r="O39" s="11"/>
      <c r="P39" s="25"/>
      <c r="Q39" s="14"/>
      <c r="R39" s="90"/>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row>
    <row r="40" spans="1:108" s="4" customFormat="1" ht="27" customHeight="1" thickBot="1">
      <c r="A40" s="90"/>
      <c r="B40" s="14"/>
      <c r="C40" s="5"/>
      <c r="D40" s="5"/>
      <c r="E40" s="64"/>
      <c r="F40" s="78"/>
      <c r="G40" s="79"/>
      <c r="H40" s="80"/>
      <c r="I40" s="6"/>
      <c r="J40" s="6"/>
      <c r="K40" s="30"/>
      <c r="L40" s="12"/>
      <c r="M40" s="12"/>
      <c r="N40" s="38"/>
      <c r="O40" s="11"/>
      <c r="P40" s="25"/>
      <c r="Q40" s="14"/>
      <c r="R40" s="90"/>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row>
    <row r="41" spans="1:108" s="4" customFormat="1" ht="27" customHeight="1" thickBot="1">
      <c r="A41" s="90"/>
      <c r="B41" s="14"/>
      <c r="C41" s="5"/>
      <c r="D41" s="5"/>
      <c r="E41" s="62" t="s">
        <v>13</v>
      </c>
      <c r="F41" s="61"/>
      <c r="G41" s="70" t="s">
        <v>30</v>
      </c>
      <c r="H41" s="72" t="s">
        <v>6</v>
      </c>
      <c r="I41" s="6"/>
      <c r="J41" s="6"/>
      <c r="K41" s="31"/>
      <c r="L41" s="11"/>
      <c r="M41" s="11"/>
      <c r="N41" s="37"/>
      <c r="O41" s="11"/>
      <c r="P41" s="24"/>
      <c r="Q41" s="14"/>
      <c r="R41" s="90"/>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row>
    <row r="42" spans="1:108" s="6" customFormat="1" ht="27" customHeight="1">
      <c r="A42" s="90"/>
      <c r="B42" s="14"/>
      <c r="C42" s="5"/>
      <c r="E42" s="5"/>
      <c r="F42" s="95" t="s">
        <v>14</v>
      </c>
      <c r="G42" s="96">
        <f>G10</f>
        <v>0</v>
      </c>
      <c r="H42" s="97">
        <f>H10</f>
        <v>0</v>
      </c>
      <c r="K42" s="31"/>
      <c r="L42" s="11"/>
      <c r="M42" s="11"/>
      <c r="N42" s="37"/>
      <c r="O42" s="11"/>
      <c r="P42" s="24"/>
      <c r="Q42" s="14"/>
      <c r="R42" s="90"/>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row>
    <row r="43" spans="1:108" s="6" customFormat="1" ht="27" customHeight="1" thickBot="1">
      <c r="A43" s="90"/>
      <c r="B43" s="14"/>
      <c r="C43" s="5"/>
      <c r="D43" s="5"/>
      <c r="E43" s="5"/>
      <c r="F43" s="98" t="s">
        <v>15</v>
      </c>
      <c r="G43" s="99">
        <f>G39</f>
        <v>0</v>
      </c>
      <c r="H43" s="100">
        <f>H39</f>
        <v>0</v>
      </c>
      <c r="K43" s="30"/>
      <c r="L43" s="12"/>
      <c r="M43" s="12"/>
      <c r="N43" s="38"/>
      <c r="O43" s="11"/>
      <c r="P43" s="25"/>
      <c r="Q43" s="14"/>
      <c r="R43" s="90"/>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row>
    <row r="44" spans="1:108" s="6" customFormat="1" ht="27" customHeight="1">
      <c r="A44" s="90"/>
      <c r="B44" s="14"/>
      <c r="C44" s="5"/>
      <c r="E44" s="5"/>
      <c r="F44" s="82" t="s">
        <v>46</v>
      </c>
      <c r="G44" s="101">
        <f>G42-G43</f>
        <v>0</v>
      </c>
      <c r="H44" s="83">
        <f>H42-H43</f>
        <v>0</v>
      </c>
      <c r="K44" s="30"/>
      <c r="L44" s="12"/>
      <c r="M44" s="12"/>
      <c r="N44" s="38"/>
      <c r="O44" s="11"/>
      <c r="P44" s="25"/>
      <c r="Q44" s="14"/>
      <c r="R44" s="90"/>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row>
    <row r="45" spans="1:108" s="6" customFormat="1" ht="27" customHeight="1">
      <c r="A45" s="90"/>
      <c r="B45" s="14"/>
      <c r="C45" s="5"/>
      <c r="E45" s="5"/>
      <c r="G45" s="7"/>
      <c r="H45" s="7"/>
      <c r="K45" s="30"/>
      <c r="L45" s="12"/>
      <c r="M45" s="12"/>
      <c r="N45" s="38"/>
      <c r="O45" s="11"/>
      <c r="P45" s="25"/>
      <c r="Q45" s="14"/>
      <c r="R45" s="90"/>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row>
    <row r="46" spans="1:108" s="6" customFormat="1" ht="27" customHeight="1">
      <c r="A46" s="90"/>
      <c r="B46" s="14"/>
      <c r="C46" s="5"/>
      <c r="F46" s="7"/>
      <c r="G46" s="7"/>
      <c r="H46" s="7"/>
      <c r="K46" s="30"/>
      <c r="L46" s="12"/>
      <c r="M46" s="12"/>
      <c r="N46" s="38"/>
      <c r="O46" s="11"/>
      <c r="P46" s="25"/>
      <c r="Q46" s="14"/>
      <c r="R46" s="90"/>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row>
    <row r="47" spans="1:108" s="6" customFormat="1" ht="27" customHeight="1">
      <c r="A47" s="90"/>
      <c r="B47" s="14"/>
      <c r="C47" s="5"/>
      <c r="F47" s="7"/>
      <c r="G47" s="7"/>
      <c r="H47" s="7"/>
      <c r="K47" s="30"/>
      <c r="L47" s="12"/>
      <c r="M47" s="12"/>
      <c r="N47" s="38"/>
      <c r="O47" s="11"/>
      <c r="P47" s="25"/>
      <c r="Q47" s="14"/>
      <c r="R47" s="90"/>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row>
    <row r="48" spans="1:108" s="6" customFormat="1" ht="27" customHeight="1">
      <c r="A48" s="90"/>
      <c r="B48" s="14"/>
      <c r="C48" s="5"/>
      <c r="F48" s="7"/>
      <c r="G48" s="7"/>
      <c r="H48" s="7"/>
      <c r="K48" s="30"/>
      <c r="L48" s="12"/>
      <c r="M48" s="12"/>
      <c r="N48" s="38"/>
      <c r="O48" s="11"/>
      <c r="P48" s="25"/>
      <c r="Q48" s="14"/>
      <c r="R48" s="90"/>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row>
    <row r="49" spans="1:108" s="6" customFormat="1" ht="27" customHeight="1">
      <c r="A49" s="90"/>
      <c r="B49" s="14"/>
      <c r="C49" s="5"/>
      <c r="F49" s="7"/>
      <c r="G49" s="7"/>
      <c r="H49" s="7"/>
      <c r="K49" s="30"/>
      <c r="L49" s="12"/>
      <c r="M49" s="12"/>
      <c r="N49" s="38"/>
      <c r="O49" s="11"/>
      <c r="P49" s="25"/>
      <c r="Q49" s="9"/>
      <c r="R49" s="85"/>
      <c r="S49" s="9"/>
      <c r="T49" s="9"/>
      <c r="U49" s="9"/>
      <c r="V49" s="9"/>
      <c r="W49" s="9"/>
      <c r="X49" s="9"/>
      <c r="Y49" s="9"/>
      <c r="Z49" s="9"/>
      <c r="AA49" s="9"/>
      <c r="AB49" s="9"/>
      <c r="AC49" s="9"/>
      <c r="AD49" s="9"/>
      <c r="AE49" s="9"/>
      <c r="AF49" s="9"/>
      <c r="AG49" s="9"/>
      <c r="AH49" s="9"/>
      <c r="AI49" s="9"/>
      <c r="AJ49" s="9"/>
      <c r="AK49" s="9"/>
      <c r="AL49" s="9"/>
      <c r="AM49" s="9"/>
      <c r="AN49" s="9"/>
      <c r="AO49" s="9"/>
      <c r="AP49" s="9"/>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9"/>
    </row>
    <row r="50" spans="1:108" s="6" customFormat="1" ht="27" customHeight="1">
      <c r="A50" s="90"/>
      <c r="B50" s="14"/>
      <c r="C50" s="5"/>
      <c r="D50" s="14"/>
      <c r="F50" s="7"/>
      <c r="G50" s="7"/>
      <c r="H50" s="7"/>
      <c r="K50" s="30"/>
      <c r="L50" s="12"/>
      <c r="M50" s="12"/>
      <c r="N50" s="38"/>
      <c r="O50" s="11"/>
      <c r="P50" s="25"/>
      <c r="Q50" s="14"/>
      <c r="R50" s="90"/>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row>
    <row r="51" spans="1:108" s="6" customFormat="1" ht="27" customHeight="1">
      <c r="A51" s="90"/>
      <c r="B51" s="14"/>
      <c r="C51" s="5"/>
      <c r="D51" s="45"/>
      <c r="E51" s="14"/>
      <c r="F51" s="43"/>
      <c r="G51" s="44"/>
      <c r="H51" s="43"/>
      <c r="K51" s="30"/>
      <c r="L51" s="12"/>
      <c r="M51" s="12"/>
      <c r="N51" s="38"/>
      <c r="O51" s="11"/>
      <c r="P51" s="25"/>
      <c r="Q51" s="14"/>
      <c r="R51" s="90"/>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row>
    <row r="52" spans="1:108" s="6" customFormat="1" ht="27" customHeight="1">
      <c r="A52" s="90"/>
      <c r="B52" s="14"/>
      <c r="C52" s="5"/>
      <c r="D52" s="45"/>
      <c r="E52" s="45"/>
      <c r="F52" s="43"/>
      <c r="G52" s="43"/>
      <c r="H52" s="43"/>
      <c r="K52" s="30"/>
      <c r="L52" s="12"/>
      <c r="M52" s="12"/>
      <c r="N52" s="38"/>
      <c r="O52" s="11"/>
      <c r="P52" s="25"/>
      <c r="Q52" s="14"/>
      <c r="R52" s="90"/>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row>
    <row r="53" spans="1:108" s="6" customFormat="1" ht="27" customHeight="1">
      <c r="A53" s="90"/>
      <c r="B53" s="14"/>
      <c r="C53" s="5"/>
      <c r="D53" s="45"/>
      <c r="E53" s="45"/>
      <c r="F53" s="14"/>
      <c r="G53" s="14"/>
      <c r="H53" s="14"/>
      <c r="K53" s="30"/>
      <c r="L53" s="12"/>
      <c r="M53" s="12"/>
      <c r="N53" s="38"/>
      <c r="O53" s="11"/>
      <c r="P53" s="25"/>
      <c r="Q53" s="14"/>
      <c r="R53" s="90"/>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row>
    <row r="54" spans="1:108" s="6" customFormat="1" ht="27" customHeight="1">
      <c r="A54" s="90"/>
      <c r="B54" s="14"/>
      <c r="C54" s="5"/>
      <c r="D54" s="45"/>
      <c r="E54" s="45"/>
      <c r="F54" s="14"/>
      <c r="G54" s="14"/>
      <c r="H54" s="14"/>
      <c r="K54" s="30"/>
      <c r="L54" s="12"/>
      <c r="M54" s="12"/>
      <c r="N54" s="38"/>
      <c r="O54" s="11"/>
      <c r="P54" s="25"/>
      <c r="Q54" s="14"/>
      <c r="R54" s="90"/>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row>
    <row r="55" spans="1:108" s="6" customFormat="1" ht="27" customHeight="1">
      <c r="A55" s="90"/>
      <c r="B55" s="14"/>
      <c r="C55" s="5"/>
      <c r="D55" s="45"/>
      <c r="E55" s="45"/>
      <c r="F55" s="14"/>
      <c r="G55" s="14"/>
      <c r="H55" s="14"/>
      <c r="K55" s="30"/>
      <c r="L55" s="12"/>
      <c r="M55" s="12"/>
      <c r="N55" s="38"/>
      <c r="O55" s="11"/>
      <c r="P55" s="25"/>
      <c r="Q55" s="14"/>
      <c r="R55" s="90"/>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row>
    <row r="56" spans="1:108" s="6" customFormat="1" ht="27" customHeight="1">
      <c r="A56" s="90"/>
      <c r="B56" s="14"/>
      <c r="C56" s="5"/>
      <c r="D56" s="45"/>
      <c r="E56" s="45"/>
      <c r="F56" s="14"/>
      <c r="G56" s="14"/>
      <c r="H56" s="14"/>
      <c r="K56" s="31"/>
      <c r="L56" s="11"/>
      <c r="M56" s="11"/>
      <c r="N56" s="37"/>
      <c r="O56" s="11"/>
      <c r="P56" s="24"/>
      <c r="Q56" s="14"/>
      <c r="R56" s="90"/>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row>
    <row r="57" spans="1:108" ht="27" customHeight="1">
      <c r="A57" s="85"/>
      <c r="D57" s="16"/>
      <c r="E57" s="45"/>
      <c r="F57" s="14"/>
      <c r="G57" s="14"/>
      <c r="H57" s="14"/>
      <c r="K57" s="30"/>
      <c r="L57" s="12"/>
      <c r="M57" s="12"/>
      <c r="N57" s="38"/>
      <c r="O57" s="11"/>
      <c r="P57" s="25"/>
      <c r="Q57" s="14"/>
      <c r="R57" s="90"/>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D57" s="14"/>
    </row>
    <row r="58" spans="1:108" s="4" customFormat="1" ht="27" customHeight="1">
      <c r="A58" s="90"/>
      <c r="B58" s="14"/>
      <c r="C58" s="5"/>
      <c r="D58" s="45"/>
      <c r="E58" s="16"/>
      <c r="F58" s="9"/>
      <c r="G58" s="9"/>
      <c r="H58" s="9"/>
      <c r="I58" s="6"/>
      <c r="J58" s="6"/>
      <c r="K58" s="30"/>
      <c r="L58" s="12"/>
      <c r="M58" s="12"/>
      <c r="N58" s="38"/>
      <c r="O58" s="11"/>
      <c r="P58" s="25"/>
      <c r="Q58" s="9"/>
      <c r="R58" s="85"/>
      <c r="S58" s="9"/>
      <c r="T58" s="9"/>
      <c r="U58" s="9"/>
      <c r="V58" s="9"/>
      <c r="W58" s="9"/>
      <c r="X58" s="9"/>
      <c r="Y58" s="9"/>
      <c r="Z58" s="9"/>
      <c r="AA58" s="9"/>
      <c r="AB58" s="9"/>
      <c r="AC58" s="9"/>
      <c r="AD58" s="9"/>
      <c r="AE58" s="9"/>
      <c r="AF58" s="9"/>
      <c r="AG58" s="9"/>
      <c r="AH58" s="9"/>
      <c r="AI58" s="9"/>
      <c r="AJ58" s="9"/>
      <c r="AK58" s="9"/>
      <c r="AL58" s="9"/>
      <c r="AM58" s="9"/>
      <c r="AN58" s="9"/>
      <c r="AO58" s="9"/>
      <c r="AP58" s="9"/>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9"/>
    </row>
    <row r="59" spans="1:108" s="4" customFormat="1" ht="27" customHeight="1">
      <c r="A59" s="90"/>
      <c r="B59" s="14"/>
      <c r="C59" s="5"/>
      <c r="D59" s="45"/>
      <c r="E59" s="45"/>
      <c r="F59" s="14"/>
      <c r="G59" s="14"/>
      <c r="H59" s="14"/>
      <c r="I59" s="6"/>
      <c r="J59" s="6"/>
      <c r="K59" s="30"/>
      <c r="L59" s="12"/>
      <c r="M59" s="12"/>
      <c r="N59" s="38"/>
      <c r="O59" s="11"/>
      <c r="P59" s="25"/>
      <c r="Q59" s="9"/>
      <c r="R59" s="85"/>
      <c r="S59" s="9"/>
      <c r="T59" s="9"/>
      <c r="U59" s="9"/>
      <c r="V59" s="9"/>
      <c r="W59" s="9"/>
      <c r="X59" s="9"/>
      <c r="Y59" s="9"/>
      <c r="Z59" s="9"/>
      <c r="AA59" s="9"/>
      <c r="AB59" s="9"/>
      <c r="AC59" s="9"/>
      <c r="AD59" s="9"/>
      <c r="AE59" s="9"/>
      <c r="AF59" s="9"/>
      <c r="AG59" s="9"/>
      <c r="AH59" s="9"/>
      <c r="AI59" s="9"/>
      <c r="AJ59" s="9"/>
      <c r="AK59" s="9"/>
      <c r="AL59" s="9"/>
      <c r="AM59" s="9"/>
      <c r="AN59" s="9"/>
      <c r="AO59" s="9"/>
      <c r="AP59" s="9"/>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9"/>
    </row>
    <row r="60" spans="1:108" s="4" customFormat="1" ht="27" customHeight="1">
      <c r="A60" s="90"/>
      <c r="B60" s="14"/>
      <c r="C60" s="5"/>
      <c r="D60" s="45"/>
      <c r="E60" s="45"/>
      <c r="F60" s="14"/>
      <c r="G60" s="14"/>
      <c r="H60" s="14"/>
      <c r="I60" s="6"/>
      <c r="J60" s="6"/>
      <c r="K60" s="30"/>
      <c r="L60" s="12"/>
      <c r="M60" s="12"/>
      <c r="N60" s="38"/>
      <c r="O60" s="11"/>
      <c r="P60" s="25"/>
      <c r="Q60" s="14"/>
      <c r="R60" s="90"/>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row>
    <row r="61" spans="1:108" s="4" customFormat="1" ht="27" customHeight="1">
      <c r="A61" s="90"/>
      <c r="B61" s="14"/>
      <c r="C61" s="5"/>
      <c r="D61" s="45"/>
      <c r="E61" s="45"/>
      <c r="F61" s="14"/>
      <c r="G61" s="14"/>
      <c r="H61" s="14"/>
      <c r="I61" s="6"/>
      <c r="J61" s="6"/>
      <c r="K61" s="30"/>
      <c r="L61" s="12"/>
      <c r="M61" s="12"/>
      <c r="N61" s="38"/>
      <c r="O61" s="11"/>
      <c r="P61" s="25"/>
      <c r="Q61" s="14"/>
      <c r="R61" s="90"/>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row>
    <row r="62" spans="1:108" s="4" customFormat="1" ht="27" customHeight="1">
      <c r="A62" s="90"/>
      <c r="B62" s="14"/>
      <c r="C62" s="5"/>
      <c r="D62" s="45"/>
      <c r="E62" s="45"/>
      <c r="F62" s="14"/>
      <c r="G62" s="14"/>
      <c r="H62" s="14"/>
      <c r="I62" s="6"/>
      <c r="J62" s="6"/>
      <c r="K62" s="30"/>
      <c r="L62" s="12"/>
      <c r="M62" s="12"/>
      <c r="N62" s="38"/>
      <c r="O62" s="11"/>
      <c r="P62" s="25"/>
      <c r="Q62" s="14"/>
      <c r="R62" s="90"/>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row>
    <row r="63" spans="1:108" s="4" customFormat="1" ht="27" customHeight="1">
      <c r="A63" s="90"/>
      <c r="B63" s="14"/>
      <c r="C63" s="5"/>
      <c r="D63" s="45"/>
      <c r="E63" s="45"/>
      <c r="F63" s="14"/>
      <c r="G63" s="14"/>
      <c r="H63" s="14"/>
      <c r="I63" s="6"/>
      <c r="J63" s="6"/>
      <c r="K63" s="30"/>
      <c r="L63" s="12"/>
      <c r="M63" s="12"/>
      <c r="N63" s="38"/>
      <c r="O63" s="11"/>
      <c r="P63" s="25"/>
      <c r="Q63" s="14"/>
      <c r="R63" s="90"/>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row>
    <row r="64" spans="1:108" s="4" customFormat="1" ht="27" customHeight="1">
      <c r="A64" s="90"/>
      <c r="B64" s="14"/>
      <c r="C64" s="5"/>
      <c r="D64" s="45"/>
      <c r="E64" s="45"/>
      <c r="F64" s="14"/>
      <c r="G64" s="14"/>
      <c r="H64" s="14"/>
      <c r="I64" s="6"/>
      <c r="J64" s="6"/>
      <c r="K64" s="30"/>
      <c r="L64" s="12"/>
      <c r="M64" s="12"/>
      <c r="N64" s="38"/>
      <c r="O64" s="11"/>
      <c r="P64" s="25"/>
      <c r="Q64" s="14"/>
      <c r="R64" s="90"/>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row>
    <row r="65" spans="1:108" ht="27" customHeight="1">
      <c r="A65" s="85"/>
      <c r="D65" s="16"/>
      <c r="E65" s="45"/>
      <c r="F65" s="14"/>
      <c r="G65" s="14"/>
      <c r="H65" s="14"/>
      <c r="K65" s="31"/>
      <c r="L65" s="11"/>
      <c r="M65" s="11"/>
      <c r="N65" s="37"/>
      <c r="O65" s="11"/>
      <c r="P65" s="24"/>
      <c r="R65" s="85"/>
    </row>
    <row r="66" spans="1:108" ht="27" customHeight="1">
      <c r="A66" s="85"/>
      <c r="D66" s="16"/>
      <c r="E66" s="16"/>
      <c r="F66" s="9"/>
      <c r="G66" s="9"/>
      <c r="H66" s="9"/>
      <c r="K66" s="31"/>
      <c r="L66" s="11"/>
      <c r="M66" s="11"/>
      <c r="N66" s="37"/>
      <c r="O66" s="11"/>
      <c r="P66" s="24"/>
      <c r="R66" s="85"/>
    </row>
    <row r="67" spans="1:108" s="4" customFormat="1" ht="27" customHeight="1">
      <c r="A67" s="90"/>
      <c r="B67" s="14"/>
      <c r="C67" s="5"/>
      <c r="D67" s="45"/>
      <c r="E67" s="16"/>
      <c r="F67" s="9"/>
      <c r="G67" s="9"/>
      <c r="H67" s="9"/>
      <c r="I67" s="6"/>
      <c r="J67" s="6"/>
      <c r="K67" s="30"/>
      <c r="L67" s="12"/>
      <c r="M67" s="12"/>
      <c r="N67" s="38"/>
      <c r="O67" s="11"/>
      <c r="P67" s="25"/>
      <c r="Q67" s="14"/>
      <c r="R67" s="90"/>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row>
    <row r="68" spans="1:108" s="4" customFormat="1" ht="27" customHeight="1">
      <c r="A68" s="90"/>
      <c r="B68" s="14"/>
      <c r="C68" s="5"/>
      <c r="D68" s="45"/>
      <c r="E68" s="45"/>
      <c r="F68" s="14"/>
      <c r="G68" s="14"/>
      <c r="H68" s="14"/>
      <c r="I68" s="6"/>
      <c r="J68" s="6"/>
      <c r="K68" s="30"/>
      <c r="L68" s="12"/>
      <c r="M68" s="12"/>
      <c r="N68" s="38"/>
      <c r="O68" s="11"/>
      <c r="P68" s="25"/>
      <c r="Q68" s="14"/>
      <c r="R68" s="90"/>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row>
    <row r="69" spans="1:108" s="4" customFormat="1" ht="27" customHeight="1">
      <c r="A69" s="90"/>
      <c r="B69" s="14"/>
      <c r="C69" s="5"/>
      <c r="D69" s="45"/>
      <c r="E69" s="45"/>
      <c r="F69" s="14"/>
      <c r="G69" s="14"/>
      <c r="H69" s="14"/>
      <c r="I69" s="6"/>
      <c r="J69" s="6"/>
      <c r="K69" s="30"/>
      <c r="L69" s="12"/>
      <c r="M69" s="12"/>
      <c r="N69" s="38"/>
      <c r="O69" s="11"/>
      <c r="P69" s="25"/>
      <c r="Q69" s="14"/>
      <c r="R69" s="90"/>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row>
    <row r="70" spans="1:108" s="4" customFormat="1" ht="27" customHeight="1">
      <c r="A70" s="90"/>
      <c r="B70" s="14"/>
      <c r="C70" s="5"/>
      <c r="D70" s="45"/>
      <c r="E70" s="45"/>
      <c r="F70" s="14"/>
      <c r="G70" s="14"/>
      <c r="H70" s="14"/>
      <c r="I70" s="6"/>
      <c r="J70" s="6"/>
      <c r="K70" s="30"/>
      <c r="L70" s="12"/>
      <c r="M70" s="12"/>
      <c r="N70" s="38"/>
      <c r="O70" s="11"/>
      <c r="P70" s="25"/>
      <c r="Q70" s="14"/>
      <c r="R70" s="90"/>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row>
    <row r="71" spans="1:108" s="4" customFormat="1" ht="27" customHeight="1">
      <c r="A71" s="90"/>
      <c r="B71" s="14"/>
      <c r="C71" s="5"/>
      <c r="D71" s="45"/>
      <c r="E71" s="45"/>
      <c r="F71" s="14"/>
      <c r="G71" s="14"/>
      <c r="H71" s="14"/>
      <c r="I71" s="6"/>
      <c r="J71" s="6"/>
      <c r="K71" s="30"/>
      <c r="L71" s="12"/>
      <c r="M71" s="12"/>
      <c r="N71" s="38"/>
      <c r="O71" s="11"/>
      <c r="P71" s="25"/>
      <c r="Q71" s="14"/>
      <c r="R71" s="90"/>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row>
    <row r="72" spans="1:108" ht="27" customHeight="1">
      <c r="A72" s="85"/>
      <c r="D72" s="16"/>
      <c r="E72" s="45"/>
      <c r="F72" s="14"/>
      <c r="G72" s="14"/>
      <c r="H72" s="14"/>
      <c r="K72" s="31"/>
      <c r="L72" s="11"/>
      <c r="M72" s="11"/>
      <c r="N72" s="37"/>
      <c r="O72" s="11"/>
      <c r="P72" s="24"/>
      <c r="Q72" s="14"/>
      <c r="R72" s="90"/>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DD72" s="14"/>
    </row>
    <row r="73" spans="1:108" ht="27" customHeight="1">
      <c r="A73" s="85"/>
      <c r="D73" s="16"/>
      <c r="E73" s="16"/>
      <c r="F73" s="9"/>
      <c r="G73" s="9"/>
      <c r="H73" s="9"/>
      <c r="K73" s="31"/>
      <c r="L73" s="11"/>
      <c r="M73" s="11"/>
      <c r="N73" s="37"/>
      <c r="O73" s="11"/>
      <c r="P73" s="24"/>
      <c r="Q73" s="14"/>
      <c r="R73" s="90"/>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DD73" s="14"/>
    </row>
    <row r="74" spans="1:108" s="4" customFormat="1" ht="27" customHeight="1">
      <c r="A74" s="90"/>
      <c r="B74" s="14"/>
      <c r="C74" s="5"/>
      <c r="D74" s="45"/>
      <c r="E74" s="16"/>
      <c r="F74" s="9"/>
      <c r="G74" s="9"/>
      <c r="H74" s="9"/>
      <c r="I74" s="6"/>
      <c r="J74" s="6"/>
      <c r="K74" s="30"/>
      <c r="L74" s="12"/>
      <c r="M74" s="12"/>
      <c r="N74" s="38"/>
      <c r="O74" s="11"/>
      <c r="P74" s="25"/>
      <c r="Q74" s="14"/>
      <c r="R74" s="90"/>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row>
    <row r="75" spans="1:108" s="4" customFormat="1" ht="27" customHeight="1">
      <c r="A75" s="90"/>
      <c r="B75" s="14"/>
      <c r="C75" s="5"/>
      <c r="D75" s="45"/>
      <c r="E75" s="45"/>
      <c r="F75" s="14"/>
      <c r="G75" s="14"/>
      <c r="H75" s="14"/>
      <c r="I75" s="6"/>
      <c r="J75" s="6"/>
      <c r="K75" s="30"/>
      <c r="L75" s="12"/>
      <c r="M75" s="12"/>
      <c r="N75" s="38"/>
      <c r="O75" s="11"/>
      <c r="P75" s="25"/>
      <c r="Q75" s="14"/>
      <c r="R75" s="90"/>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row>
    <row r="76" spans="1:108" s="4" customFormat="1" ht="27" customHeight="1">
      <c r="A76" s="90"/>
      <c r="B76" s="14"/>
      <c r="C76" s="5"/>
      <c r="D76" s="45"/>
      <c r="E76" s="45"/>
      <c r="F76" s="14"/>
      <c r="G76" s="14"/>
      <c r="H76" s="14"/>
      <c r="I76" s="6"/>
      <c r="J76" s="6"/>
      <c r="K76" s="30"/>
      <c r="L76" s="12"/>
      <c r="M76" s="12"/>
      <c r="N76" s="38"/>
      <c r="O76" s="11"/>
      <c r="P76" s="25"/>
      <c r="Q76" s="9"/>
      <c r="R76" s="85"/>
      <c r="S76" s="9"/>
      <c r="T76" s="9"/>
      <c r="U76" s="9"/>
      <c r="V76" s="9"/>
      <c r="W76" s="9"/>
      <c r="X76" s="9"/>
      <c r="Y76" s="9"/>
      <c r="Z76" s="9"/>
      <c r="AA76" s="9"/>
      <c r="AB76" s="9"/>
      <c r="AC76" s="9"/>
      <c r="AD76" s="9"/>
      <c r="AE76" s="9"/>
      <c r="AF76" s="9"/>
      <c r="AG76" s="9"/>
      <c r="AH76" s="9"/>
      <c r="AI76" s="9"/>
      <c r="AJ76" s="9"/>
      <c r="AK76" s="9"/>
      <c r="AL76" s="9"/>
      <c r="AM76" s="9"/>
      <c r="AN76" s="9"/>
      <c r="AO76" s="9"/>
      <c r="AP76" s="9"/>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9"/>
    </row>
    <row r="77" spans="1:108" s="4" customFormat="1" ht="27" customHeight="1">
      <c r="A77" s="90"/>
      <c r="B77" s="14"/>
      <c r="C77" s="5"/>
      <c r="D77" s="45"/>
      <c r="E77" s="45"/>
      <c r="F77" s="14"/>
      <c r="G77" s="14"/>
      <c r="H77" s="14"/>
      <c r="I77" s="6"/>
      <c r="J77" s="6"/>
      <c r="K77" s="30"/>
      <c r="L77" s="12"/>
      <c r="M77" s="12"/>
      <c r="N77" s="38"/>
      <c r="O77" s="11"/>
      <c r="P77" s="25"/>
      <c r="Q77" s="9"/>
      <c r="R77" s="85"/>
      <c r="S77" s="9"/>
      <c r="T77" s="9"/>
      <c r="U77" s="9"/>
      <c r="V77" s="9"/>
      <c r="W77" s="9"/>
      <c r="X77" s="9"/>
      <c r="Y77" s="9"/>
      <c r="Z77" s="9"/>
      <c r="AA77" s="9"/>
      <c r="AB77" s="9"/>
      <c r="AC77" s="9"/>
      <c r="AD77" s="9"/>
      <c r="AE77" s="9"/>
      <c r="AF77" s="9"/>
      <c r="AG77" s="9"/>
      <c r="AH77" s="9"/>
      <c r="AI77" s="9"/>
      <c r="AJ77" s="9"/>
      <c r="AK77" s="9"/>
      <c r="AL77" s="9"/>
      <c r="AM77" s="9"/>
      <c r="AN77" s="9"/>
      <c r="AO77" s="9"/>
      <c r="AP77" s="9"/>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9"/>
    </row>
    <row r="78" spans="1:108" s="4" customFormat="1" ht="27" customHeight="1">
      <c r="A78" s="90"/>
      <c r="B78" s="14"/>
      <c r="C78" s="5"/>
      <c r="D78" s="45"/>
      <c r="E78" s="45"/>
      <c r="F78" s="14"/>
      <c r="G78" s="14"/>
      <c r="H78" s="14"/>
      <c r="I78" s="6"/>
      <c r="J78" s="6"/>
      <c r="K78" s="30"/>
      <c r="L78" s="12"/>
      <c r="M78" s="12"/>
      <c r="N78" s="38"/>
      <c r="O78" s="11"/>
      <c r="P78" s="25"/>
      <c r="Q78" s="9"/>
      <c r="R78" s="85"/>
      <c r="S78" s="9"/>
      <c r="T78" s="9"/>
      <c r="U78" s="9"/>
      <c r="V78" s="9"/>
      <c r="W78" s="9"/>
      <c r="X78" s="9"/>
      <c r="Y78" s="9"/>
      <c r="Z78" s="9"/>
      <c r="AA78" s="9"/>
      <c r="AB78" s="9"/>
      <c r="AC78" s="9"/>
      <c r="AD78" s="9"/>
      <c r="AE78" s="9"/>
      <c r="AF78" s="9"/>
      <c r="AG78" s="9"/>
      <c r="AH78" s="9"/>
      <c r="AI78" s="9"/>
      <c r="AJ78" s="9"/>
      <c r="AK78" s="9"/>
      <c r="AL78" s="9"/>
      <c r="AM78" s="9"/>
      <c r="AN78" s="9"/>
      <c r="AO78" s="9"/>
      <c r="AP78" s="9"/>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9"/>
    </row>
    <row r="79" spans="1:108" s="4" customFormat="1" ht="27" customHeight="1">
      <c r="A79" s="90"/>
      <c r="B79" s="14"/>
      <c r="C79" s="5"/>
      <c r="D79" s="45"/>
      <c r="E79" s="45"/>
      <c r="F79" s="14"/>
      <c r="G79" s="14"/>
      <c r="H79" s="14"/>
      <c r="I79" s="6"/>
      <c r="J79" s="6"/>
      <c r="K79" s="30"/>
      <c r="L79" s="12"/>
      <c r="M79" s="12"/>
      <c r="N79" s="38"/>
      <c r="O79" s="11"/>
      <c r="P79" s="25"/>
      <c r="Q79" s="9"/>
      <c r="R79" s="85"/>
      <c r="S79" s="9"/>
      <c r="T79" s="9"/>
      <c r="U79" s="9"/>
      <c r="V79" s="9"/>
      <c r="W79" s="9"/>
      <c r="X79" s="9"/>
      <c r="Y79" s="9"/>
      <c r="Z79" s="9"/>
      <c r="AA79" s="9"/>
      <c r="AB79" s="9"/>
      <c r="AC79" s="9"/>
      <c r="AD79" s="9"/>
      <c r="AE79" s="9"/>
      <c r="AF79" s="9"/>
      <c r="AG79" s="9"/>
      <c r="AH79" s="9"/>
      <c r="AI79" s="9"/>
      <c r="AJ79" s="9"/>
      <c r="AK79" s="9"/>
      <c r="AL79" s="9"/>
      <c r="AM79" s="9"/>
      <c r="AN79" s="9"/>
      <c r="AO79" s="9"/>
      <c r="AP79" s="9"/>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9"/>
    </row>
    <row r="80" spans="1:108" s="4" customFormat="1" ht="27" customHeight="1">
      <c r="A80" s="90"/>
      <c r="B80" s="14"/>
      <c r="C80" s="5"/>
      <c r="D80" s="45"/>
      <c r="E80" s="45"/>
      <c r="F80" s="14"/>
      <c r="G80" s="14"/>
      <c r="H80" s="14"/>
      <c r="I80" s="6"/>
      <c r="J80" s="6"/>
      <c r="K80" s="30"/>
      <c r="L80" s="12"/>
      <c r="M80" s="12"/>
      <c r="N80" s="38"/>
      <c r="O80" s="11"/>
      <c r="P80" s="25"/>
      <c r="Q80" s="9"/>
      <c r="R80" s="85"/>
      <c r="S80" s="9"/>
      <c r="T80" s="9"/>
      <c r="U80" s="9"/>
      <c r="V80" s="9"/>
      <c r="W80" s="9"/>
      <c r="X80" s="9"/>
      <c r="Y80" s="9"/>
      <c r="Z80" s="9"/>
      <c r="AA80" s="9"/>
      <c r="AB80" s="9"/>
      <c r="AC80" s="9"/>
      <c r="AD80" s="9"/>
      <c r="AE80" s="9"/>
      <c r="AF80" s="9"/>
      <c r="AG80" s="9"/>
      <c r="AH80" s="9"/>
      <c r="AI80" s="9"/>
      <c r="AJ80" s="9"/>
      <c r="AK80" s="9"/>
      <c r="AL80" s="9"/>
      <c r="AM80" s="9"/>
      <c r="AN80" s="9"/>
      <c r="AO80" s="9"/>
      <c r="AP80" s="9"/>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9"/>
    </row>
    <row r="81" spans="1:108" s="4" customFormat="1" ht="27" customHeight="1">
      <c r="A81" s="90"/>
      <c r="B81" s="14"/>
      <c r="C81" s="5"/>
      <c r="D81" s="45"/>
      <c r="E81" s="45"/>
      <c r="F81" s="14"/>
      <c r="G81" s="14"/>
      <c r="H81" s="14"/>
      <c r="I81" s="6"/>
      <c r="J81" s="6"/>
      <c r="K81" s="30"/>
      <c r="L81" s="12"/>
      <c r="M81" s="12"/>
      <c r="N81" s="38"/>
      <c r="O81" s="11"/>
      <c r="P81" s="25"/>
      <c r="Q81" s="9"/>
      <c r="R81" s="85"/>
      <c r="S81" s="9"/>
      <c r="T81" s="9"/>
      <c r="U81" s="9"/>
      <c r="V81" s="9"/>
      <c r="W81" s="9"/>
      <c r="X81" s="9"/>
      <c r="Y81" s="9"/>
      <c r="Z81" s="9"/>
      <c r="AA81" s="9"/>
      <c r="AB81" s="9"/>
      <c r="AC81" s="9"/>
      <c r="AD81" s="9"/>
      <c r="AE81" s="9"/>
      <c r="AF81" s="9"/>
      <c r="AG81" s="9"/>
      <c r="AH81" s="9"/>
      <c r="AI81" s="9"/>
      <c r="AJ81" s="9"/>
      <c r="AK81" s="9"/>
      <c r="AL81" s="9"/>
      <c r="AM81" s="9"/>
      <c r="AN81" s="9"/>
      <c r="AO81" s="9"/>
      <c r="AP81" s="9"/>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9"/>
    </row>
    <row r="82" spans="1:108" s="4" customFormat="1" ht="27" customHeight="1">
      <c r="A82" s="90"/>
      <c r="B82" s="14"/>
      <c r="C82" s="5"/>
      <c r="D82" s="45"/>
      <c r="E82" s="45"/>
      <c r="F82" s="14"/>
      <c r="G82" s="14"/>
      <c r="H82" s="14"/>
      <c r="I82" s="6"/>
      <c r="J82" s="6"/>
      <c r="K82" s="30"/>
      <c r="L82" s="12"/>
      <c r="M82" s="12"/>
      <c r="N82" s="38"/>
      <c r="O82" s="11"/>
      <c r="P82" s="25"/>
      <c r="Q82" s="9"/>
      <c r="R82" s="85"/>
      <c r="S82" s="9"/>
      <c r="T82" s="9"/>
      <c r="U82" s="9"/>
      <c r="V82" s="9"/>
      <c r="W82" s="9"/>
      <c r="X82" s="9"/>
      <c r="Y82" s="9"/>
      <c r="Z82" s="9"/>
      <c r="AA82" s="9"/>
      <c r="AB82" s="9"/>
      <c r="AC82" s="9"/>
      <c r="AD82" s="9"/>
      <c r="AE82" s="9"/>
      <c r="AF82" s="9"/>
      <c r="AG82" s="9"/>
      <c r="AH82" s="9"/>
      <c r="AI82" s="9"/>
      <c r="AJ82" s="9"/>
      <c r="AK82" s="9"/>
      <c r="AL82" s="9"/>
      <c r="AM82" s="9"/>
      <c r="AN82" s="9"/>
      <c r="AO82" s="9"/>
      <c r="AP82" s="9"/>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9"/>
    </row>
    <row r="83" spans="1:108" ht="27" customHeight="1">
      <c r="A83" s="85"/>
      <c r="D83" s="16"/>
      <c r="E83" s="45"/>
      <c r="F83" s="14"/>
      <c r="G83" s="14"/>
      <c r="H83" s="14"/>
      <c r="K83" s="31"/>
      <c r="L83" s="11"/>
      <c r="M83" s="11"/>
      <c r="N83" s="37"/>
      <c r="O83" s="11"/>
      <c r="P83" s="24"/>
      <c r="R83" s="85"/>
    </row>
    <row r="84" spans="1:108" ht="27" customHeight="1">
      <c r="A84" s="85"/>
      <c r="D84" s="16"/>
      <c r="E84" s="16"/>
      <c r="F84" s="9"/>
      <c r="G84" s="9"/>
      <c r="H84" s="9"/>
      <c r="K84" s="31"/>
      <c r="L84" s="11"/>
      <c r="M84" s="11"/>
      <c r="N84" s="37"/>
      <c r="O84" s="11"/>
      <c r="P84" s="24"/>
      <c r="R84" s="85"/>
    </row>
    <row r="85" spans="1:108" ht="27" customHeight="1">
      <c r="A85" s="85"/>
      <c r="D85" s="16"/>
      <c r="E85" s="16"/>
      <c r="F85" s="9"/>
      <c r="G85" s="9"/>
      <c r="H85" s="9"/>
      <c r="K85" s="31"/>
      <c r="L85" s="11"/>
      <c r="M85" s="11"/>
      <c r="N85" s="37"/>
      <c r="O85" s="11"/>
      <c r="P85" s="24"/>
      <c r="R85" s="85"/>
    </row>
    <row r="86" spans="1:108" ht="27" customHeight="1">
      <c r="A86" s="85"/>
      <c r="D86" s="16"/>
      <c r="E86" s="16"/>
      <c r="F86" s="9"/>
      <c r="G86" s="9"/>
      <c r="H86" s="9"/>
      <c r="K86" s="31"/>
      <c r="L86" s="11"/>
      <c r="M86" s="11"/>
      <c r="N86" s="37"/>
      <c r="O86" s="11"/>
      <c r="P86" s="24"/>
      <c r="R86" s="85"/>
    </row>
    <row r="87" spans="1:108" ht="27" customHeight="1">
      <c r="A87" s="85"/>
      <c r="D87" s="16"/>
      <c r="E87" s="16"/>
      <c r="F87" s="9"/>
      <c r="G87" s="9"/>
      <c r="H87" s="9"/>
      <c r="K87" s="31"/>
      <c r="L87" s="11"/>
      <c r="M87" s="11"/>
      <c r="N87" s="37"/>
      <c r="O87" s="11"/>
      <c r="P87" s="24"/>
      <c r="R87" s="85"/>
    </row>
    <row r="88" spans="1:108" ht="27" customHeight="1">
      <c r="A88" s="85"/>
      <c r="D88" s="16"/>
      <c r="E88" s="16"/>
      <c r="F88" s="9"/>
      <c r="G88" s="9"/>
      <c r="H88" s="9"/>
      <c r="K88" s="31"/>
      <c r="L88" s="11"/>
      <c r="M88" s="11"/>
      <c r="N88" s="37"/>
      <c r="O88" s="11"/>
      <c r="P88" s="24"/>
      <c r="R88" s="85"/>
    </row>
    <row r="89" spans="1:108" ht="27" customHeight="1">
      <c r="A89" s="85"/>
      <c r="D89" s="16"/>
      <c r="E89" s="16"/>
      <c r="F89" s="9"/>
      <c r="G89" s="9"/>
      <c r="H89" s="9"/>
      <c r="K89" s="31"/>
      <c r="L89" s="11"/>
      <c r="M89" s="11"/>
      <c r="N89" s="37"/>
      <c r="O89" s="11"/>
      <c r="P89" s="24"/>
      <c r="R89" s="85"/>
    </row>
    <row r="90" spans="1:108" ht="27" customHeight="1">
      <c r="A90" s="85"/>
      <c r="D90" s="16"/>
      <c r="E90" s="16"/>
      <c r="F90" s="9"/>
      <c r="G90" s="9"/>
      <c r="H90" s="9"/>
      <c r="K90" s="31"/>
      <c r="L90" s="11"/>
      <c r="M90" s="11"/>
      <c r="N90" s="37"/>
      <c r="O90" s="11"/>
      <c r="P90" s="24"/>
      <c r="R90" s="85"/>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row>
    <row r="91" spans="1:108" ht="27" customHeight="1">
      <c r="A91" s="85"/>
      <c r="D91" s="16"/>
      <c r="E91" s="16"/>
      <c r="F91" s="9"/>
      <c r="G91" s="9"/>
      <c r="H91" s="9"/>
      <c r="K91" s="31"/>
      <c r="L91" s="11"/>
      <c r="M91" s="11"/>
      <c r="N91" s="37"/>
      <c r="O91" s="11"/>
      <c r="P91" s="24"/>
      <c r="R91" s="85"/>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row>
    <row r="92" spans="1:108" ht="27" customHeight="1">
      <c r="A92" s="85"/>
      <c r="D92" s="16"/>
      <c r="E92" s="16"/>
      <c r="F92" s="9"/>
      <c r="G92" s="9"/>
      <c r="H92" s="9"/>
      <c r="K92" s="31"/>
      <c r="L92" s="11"/>
      <c r="M92" s="11"/>
      <c r="N92" s="37"/>
      <c r="O92" s="11"/>
      <c r="P92" s="24"/>
      <c r="R92" s="85"/>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row>
    <row r="93" spans="1:108" ht="27" customHeight="1">
      <c r="A93" s="85"/>
      <c r="D93" s="16"/>
      <c r="E93" s="16"/>
      <c r="F93" s="9"/>
      <c r="G93" s="9"/>
      <c r="H93" s="9"/>
      <c r="K93" s="31"/>
      <c r="L93" s="11"/>
      <c r="M93" s="11"/>
      <c r="N93" s="37"/>
      <c r="O93" s="11"/>
      <c r="P93" s="24"/>
      <c r="R93" s="85"/>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row>
    <row r="94" spans="1:108" ht="27" customHeight="1">
      <c r="A94" s="85"/>
      <c r="D94" s="16"/>
      <c r="E94" s="16"/>
      <c r="F94" s="9"/>
      <c r="G94" s="9"/>
      <c r="H94" s="9"/>
      <c r="K94" s="31"/>
      <c r="L94" s="11"/>
      <c r="M94" s="11"/>
      <c r="N94" s="37"/>
      <c r="O94" s="11"/>
      <c r="P94" s="24"/>
      <c r="R94" s="85"/>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row>
    <row r="95" spans="1:108" ht="27" customHeight="1">
      <c r="A95" s="85"/>
      <c r="D95" s="16"/>
      <c r="E95" s="16"/>
      <c r="F95" s="9"/>
      <c r="G95" s="9"/>
      <c r="H95" s="9"/>
      <c r="K95" s="31"/>
      <c r="L95" s="11"/>
      <c r="M95" s="11"/>
      <c r="N95" s="37"/>
      <c r="O95" s="11"/>
      <c r="P95" s="24"/>
      <c r="R95" s="85"/>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row>
    <row r="96" spans="1:108" ht="27" customHeight="1">
      <c r="A96" s="85"/>
      <c r="D96" s="16"/>
      <c r="E96" s="16"/>
      <c r="F96" s="9"/>
      <c r="G96" s="9"/>
      <c r="H96" s="9"/>
      <c r="K96" s="31"/>
      <c r="L96" s="11"/>
      <c r="M96" s="11"/>
      <c r="N96" s="37"/>
      <c r="O96" s="11"/>
      <c r="P96" s="24"/>
      <c r="R96" s="85"/>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row>
    <row r="97" spans="1:108" ht="27" customHeight="1">
      <c r="A97" s="85"/>
      <c r="D97" s="16"/>
      <c r="E97" s="16"/>
      <c r="F97" s="9"/>
      <c r="G97" s="9"/>
      <c r="H97" s="9"/>
      <c r="K97" s="31"/>
      <c r="L97" s="11"/>
      <c r="M97" s="11"/>
      <c r="N97" s="37"/>
      <c r="O97" s="11"/>
      <c r="P97" s="24"/>
      <c r="R97" s="85"/>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row>
    <row r="98" spans="1:108" ht="27" customHeight="1">
      <c r="A98" s="85"/>
      <c r="D98" s="16"/>
      <c r="E98" s="16"/>
      <c r="F98" s="9"/>
      <c r="G98" s="9"/>
      <c r="H98" s="9"/>
      <c r="K98" s="31"/>
      <c r="L98" s="11"/>
      <c r="M98" s="11"/>
      <c r="N98" s="37"/>
      <c r="O98" s="11"/>
      <c r="P98" s="24"/>
      <c r="R98" s="85"/>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row>
    <row r="99" spans="1:108" ht="27" customHeight="1">
      <c r="A99" s="85"/>
      <c r="D99" s="16"/>
      <c r="E99" s="16"/>
      <c r="F99" s="9"/>
      <c r="G99" s="9"/>
      <c r="H99" s="9"/>
      <c r="K99" s="31"/>
      <c r="L99" s="11"/>
      <c r="M99" s="11"/>
      <c r="N99" s="37"/>
      <c r="O99" s="11"/>
      <c r="P99" s="24"/>
      <c r="R99" s="85"/>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row>
    <row r="100" spans="1:108" ht="27" customHeight="1">
      <c r="A100" s="85"/>
      <c r="D100" s="16"/>
      <c r="E100" s="16"/>
      <c r="F100" s="9"/>
      <c r="G100" s="9"/>
      <c r="H100" s="9"/>
      <c r="K100" s="31"/>
      <c r="L100" s="11"/>
      <c r="M100" s="11"/>
      <c r="N100" s="37"/>
      <c r="O100" s="11"/>
      <c r="P100" s="24"/>
      <c r="R100" s="85"/>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row>
    <row r="101" spans="1:108" ht="27" customHeight="1">
      <c r="A101" s="85"/>
      <c r="D101" s="16"/>
      <c r="E101" s="16"/>
      <c r="F101" s="9"/>
      <c r="G101" s="9"/>
      <c r="H101" s="9"/>
      <c r="K101" s="31"/>
      <c r="L101" s="11"/>
      <c r="M101" s="11"/>
      <c r="N101" s="37"/>
      <c r="O101" s="11"/>
      <c r="P101" s="24"/>
      <c r="R101" s="85"/>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row>
    <row r="102" spans="1:108" ht="27" customHeight="1">
      <c r="A102" s="85"/>
      <c r="D102" s="16"/>
      <c r="E102" s="16"/>
      <c r="F102" s="9"/>
      <c r="G102" s="9"/>
      <c r="H102" s="9"/>
      <c r="K102" s="31"/>
      <c r="L102" s="11"/>
      <c r="M102" s="11"/>
      <c r="N102" s="37"/>
      <c r="O102" s="11"/>
      <c r="P102" s="24"/>
      <c r="R102" s="85"/>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row>
    <row r="103" spans="1:108" ht="27" customHeight="1">
      <c r="A103" s="85"/>
      <c r="D103" s="16"/>
      <c r="E103" s="16"/>
      <c r="F103" s="9"/>
      <c r="G103" s="9"/>
      <c r="H103" s="9"/>
      <c r="K103" s="31"/>
      <c r="L103" s="11"/>
      <c r="M103" s="11"/>
      <c r="N103" s="37"/>
      <c r="O103" s="11"/>
      <c r="P103" s="24"/>
      <c r="R103" s="85"/>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row>
    <row r="104" spans="1:108" ht="27" customHeight="1">
      <c r="A104" s="85"/>
      <c r="D104" s="16"/>
      <c r="E104" s="16"/>
      <c r="F104" s="9"/>
      <c r="G104" s="9"/>
      <c r="H104" s="9"/>
      <c r="K104" s="31"/>
      <c r="L104" s="11"/>
      <c r="M104" s="11"/>
      <c r="N104" s="37"/>
      <c r="O104" s="11"/>
      <c r="P104" s="24"/>
      <c r="R104" s="85"/>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row>
    <row r="105" spans="1:108" ht="27" customHeight="1">
      <c r="A105" s="85"/>
      <c r="D105" s="16"/>
      <c r="E105" s="16"/>
      <c r="F105" s="9"/>
      <c r="G105" s="9"/>
      <c r="H105" s="9"/>
      <c r="K105" s="31"/>
      <c r="L105" s="11"/>
      <c r="M105" s="11"/>
      <c r="N105" s="37"/>
      <c r="O105" s="11"/>
      <c r="P105" s="24"/>
      <c r="R105" s="85"/>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row>
    <row r="106" spans="1:108" ht="27" customHeight="1">
      <c r="A106" s="85"/>
      <c r="D106" s="16"/>
      <c r="E106" s="16"/>
      <c r="F106" s="9"/>
      <c r="G106" s="9"/>
      <c r="H106" s="9"/>
      <c r="K106" s="31"/>
      <c r="L106" s="11"/>
      <c r="M106" s="11"/>
      <c r="N106" s="37"/>
      <c r="O106" s="11"/>
      <c r="P106" s="24"/>
      <c r="R106" s="85"/>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row>
    <row r="107" spans="1:108" ht="27" customHeight="1">
      <c r="A107" s="85"/>
      <c r="D107" s="16"/>
      <c r="E107" s="16"/>
      <c r="F107" s="9"/>
      <c r="G107" s="9"/>
      <c r="H107" s="9"/>
      <c r="K107" s="31"/>
      <c r="L107" s="11"/>
      <c r="M107" s="11"/>
      <c r="N107" s="37"/>
      <c r="O107" s="11"/>
      <c r="P107" s="24"/>
      <c r="R107" s="85"/>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row>
    <row r="108" spans="1:108" ht="27" customHeight="1">
      <c r="A108" s="85"/>
      <c r="D108" s="16"/>
      <c r="E108" s="16"/>
      <c r="F108" s="9"/>
      <c r="G108" s="9"/>
      <c r="H108" s="9"/>
      <c r="K108" s="31"/>
      <c r="L108" s="11"/>
      <c r="M108" s="11"/>
      <c r="N108" s="37"/>
      <c r="O108" s="11"/>
      <c r="P108" s="24"/>
      <c r="R108" s="85"/>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row>
    <row r="109" spans="1:108" ht="27" customHeight="1">
      <c r="A109" s="85"/>
      <c r="D109" s="16"/>
      <c r="E109" s="16"/>
      <c r="F109" s="9"/>
      <c r="G109" s="9"/>
      <c r="H109" s="9"/>
      <c r="K109" s="31"/>
      <c r="L109" s="11"/>
      <c r="M109" s="11"/>
      <c r="N109" s="37"/>
      <c r="O109" s="11"/>
      <c r="P109" s="24"/>
      <c r="R109" s="85"/>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row>
    <row r="110" spans="1:108" ht="27" customHeight="1">
      <c r="A110" s="85"/>
      <c r="D110" s="16"/>
      <c r="E110" s="16"/>
      <c r="F110" s="9"/>
      <c r="G110" s="9"/>
      <c r="H110" s="9"/>
      <c r="K110" s="31"/>
      <c r="L110" s="11"/>
      <c r="M110" s="11"/>
      <c r="N110" s="37"/>
      <c r="O110" s="11"/>
      <c r="P110" s="24"/>
      <c r="R110" s="85"/>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row>
    <row r="111" spans="1:108" ht="27" customHeight="1">
      <c r="A111" s="85"/>
      <c r="D111" s="16"/>
      <c r="E111" s="16"/>
      <c r="F111" s="9"/>
      <c r="G111" s="9"/>
      <c r="H111" s="9"/>
      <c r="K111" s="31"/>
      <c r="L111" s="11"/>
      <c r="M111" s="11"/>
      <c r="N111" s="37"/>
      <c r="O111" s="11"/>
      <c r="P111" s="24"/>
      <c r="R111" s="85"/>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row>
    <row r="112" spans="1:108" ht="27" customHeight="1">
      <c r="A112" s="85"/>
      <c r="D112" s="16"/>
      <c r="E112" s="16"/>
      <c r="F112" s="9"/>
      <c r="G112" s="9"/>
      <c r="H112" s="9"/>
      <c r="K112" s="31"/>
      <c r="L112" s="11"/>
      <c r="M112" s="11"/>
      <c r="N112" s="37"/>
      <c r="O112" s="11"/>
      <c r="P112" s="24"/>
      <c r="R112" s="85"/>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row>
    <row r="113" spans="1:108" ht="27" customHeight="1">
      <c r="A113" s="85"/>
      <c r="D113" s="16"/>
      <c r="E113" s="16"/>
      <c r="F113" s="9"/>
      <c r="G113" s="9"/>
      <c r="H113" s="9"/>
      <c r="K113" s="31"/>
      <c r="L113" s="11"/>
      <c r="M113" s="11"/>
      <c r="N113" s="37"/>
      <c r="O113" s="11"/>
      <c r="P113" s="24"/>
      <c r="R113" s="85"/>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row>
    <row r="114" spans="1:108" ht="27" customHeight="1">
      <c r="A114" s="85"/>
      <c r="D114" s="16"/>
      <c r="E114" s="16"/>
      <c r="F114" s="9"/>
      <c r="G114" s="9"/>
      <c r="H114" s="9"/>
      <c r="K114" s="31"/>
      <c r="L114" s="11"/>
      <c r="M114" s="11"/>
      <c r="N114" s="37"/>
      <c r="O114" s="11"/>
      <c r="P114" s="24"/>
      <c r="R114" s="85"/>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row>
    <row r="115" spans="1:108" ht="27" customHeight="1">
      <c r="A115" s="85"/>
      <c r="D115" s="16"/>
      <c r="E115" s="16"/>
      <c r="F115" s="9"/>
      <c r="G115" s="9"/>
      <c r="H115" s="9"/>
      <c r="K115" s="31"/>
      <c r="L115" s="11"/>
      <c r="M115" s="11"/>
      <c r="N115" s="37"/>
      <c r="O115" s="11"/>
      <c r="P115" s="24"/>
      <c r="R115" s="85"/>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row>
    <row r="116" spans="1:108" ht="27" customHeight="1">
      <c r="A116" s="85"/>
      <c r="D116" s="16"/>
      <c r="E116" s="16"/>
      <c r="F116" s="9"/>
      <c r="G116" s="9"/>
      <c r="H116" s="9"/>
      <c r="K116" s="31"/>
      <c r="L116" s="11"/>
      <c r="M116" s="11"/>
      <c r="N116" s="37"/>
      <c r="O116" s="11"/>
      <c r="P116" s="24"/>
      <c r="R116" s="85"/>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row>
    <row r="117" spans="1:108" ht="27" customHeight="1">
      <c r="A117" s="85"/>
      <c r="D117" s="16"/>
      <c r="E117" s="16"/>
      <c r="F117" s="9"/>
      <c r="G117" s="9"/>
      <c r="H117" s="9"/>
      <c r="K117" s="31"/>
      <c r="L117" s="11"/>
      <c r="M117" s="11"/>
      <c r="N117" s="37"/>
      <c r="O117" s="11"/>
      <c r="P117" s="24"/>
      <c r="R117" s="85"/>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row>
    <row r="118" spans="1:108" ht="27" customHeight="1">
      <c r="A118" s="85"/>
      <c r="D118" s="16"/>
      <c r="E118" s="16"/>
      <c r="F118" s="9"/>
      <c r="G118" s="9"/>
      <c r="H118" s="9"/>
      <c r="K118" s="31"/>
      <c r="L118" s="11"/>
      <c r="M118" s="11"/>
      <c r="N118" s="37"/>
      <c r="O118" s="11"/>
      <c r="P118" s="24"/>
      <c r="R118" s="85"/>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row>
    <row r="119" spans="1:108" ht="27" customHeight="1">
      <c r="A119" s="85"/>
      <c r="D119" s="16"/>
      <c r="E119" s="16"/>
      <c r="F119" s="9"/>
      <c r="G119" s="9"/>
      <c r="H119" s="9"/>
      <c r="K119" s="31"/>
      <c r="L119" s="11"/>
      <c r="M119" s="11"/>
      <c r="N119" s="37"/>
      <c r="O119" s="11"/>
      <c r="P119" s="24"/>
      <c r="R119" s="85"/>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row>
    <row r="120" spans="1:108" ht="27" customHeight="1">
      <c r="A120" s="85"/>
      <c r="D120" s="16"/>
      <c r="E120" s="16"/>
      <c r="F120" s="9"/>
      <c r="G120" s="9"/>
      <c r="H120" s="9"/>
      <c r="K120" s="31"/>
      <c r="L120" s="11"/>
      <c r="M120" s="11"/>
      <c r="N120" s="37"/>
      <c r="O120" s="11"/>
      <c r="P120" s="24"/>
      <c r="R120" s="85"/>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row>
    <row r="121" spans="1:108" ht="27" customHeight="1">
      <c r="A121" s="85"/>
      <c r="D121" s="16"/>
      <c r="E121" s="16"/>
      <c r="F121" s="9"/>
      <c r="G121" s="9"/>
      <c r="H121" s="9"/>
      <c r="K121" s="31"/>
      <c r="L121" s="11"/>
      <c r="M121" s="11"/>
      <c r="N121" s="37"/>
      <c r="O121" s="11"/>
      <c r="P121" s="24"/>
      <c r="R121" s="85"/>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row>
    <row r="122" spans="1:108" ht="27" customHeight="1">
      <c r="A122" s="85"/>
      <c r="D122" s="16"/>
      <c r="E122" s="16"/>
      <c r="F122" s="9"/>
      <c r="G122" s="9"/>
      <c r="H122" s="9"/>
      <c r="K122" s="31"/>
      <c r="L122" s="11"/>
      <c r="M122" s="11"/>
      <c r="N122" s="37"/>
      <c r="O122" s="11"/>
      <c r="P122" s="24"/>
      <c r="R122" s="85"/>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row>
    <row r="123" spans="1:108" ht="27" customHeight="1">
      <c r="A123" s="85"/>
      <c r="D123" s="16"/>
      <c r="E123" s="16"/>
      <c r="F123" s="9"/>
      <c r="G123" s="9"/>
      <c r="H123" s="9"/>
      <c r="K123" s="31"/>
      <c r="L123" s="11"/>
      <c r="M123" s="11"/>
      <c r="N123" s="37"/>
      <c r="O123" s="11"/>
      <c r="P123" s="24"/>
      <c r="R123" s="85"/>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row>
    <row r="124" spans="1:108" ht="27" customHeight="1">
      <c r="A124" s="85"/>
      <c r="D124" s="16"/>
      <c r="E124" s="16"/>
      <c r="F124" s="9"/>
      <c r="G124" s="9"/>
      <c r="H124" s="9"/>
      <c r="K124" s="31"/>
      <c r="L124" s="11"/>
      <c r="M124" s="11"/>
      <c r="N124" s="37"/>
      <c r="O124" s="11"/>
      <c r="P124" s="24"/>
      <c r="R124" s="85"/>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row>
    <row r="125" spans="1:108" ht="27" customHeight="1">
      <c r="A125" s="85"/>
      <c r="D125" s="16"/>
      <c r="E125" s="16"/>
      <c r="F125" s="9"/>
      <c r="G125" s="9"/>
      <c r="H125" s="9"/>
      <c r="K125" s="31"/>
      <c r="L125" s="11"/>
      <c r="M125" s="11"/>
      <c r="N125" s="37"/>
      <c r="O125" s="11"/>
      <c r="P125" s="24"/>
      <c r="R125" s="85"/>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row>
    <row r="126" spans="1:108" ht="27" customHeight="1">
      <c r="A126" s="85"/>
      <c r="D126" s="16"/>
      <c r="E126" s="16"/>
      <c r="F126" s="9"/>
      <c r="G126" s="9"/>
      <c r="H126" s="9"/>
      <c r="K126" s="31"/>
      <c r="L126" s="11"/>
      <c r="M126" s="11"/>
      <c r="N126" s="37"/>
      <c r="O126" s="11"/>
      <c r="P126" s="24"/>
      <c r="R126" s="85"/>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row>
    <row r="127" spans="1:108" ht="27" customHeight="1">
      <c r="A127" s="85"/>
      <c r="D127" s="16"/>
      <c r="E127" s="16"/>
      <c r="F127" s="9"/>
      <c r="G127" s="9"/>
      <c r="H127" s="9"/>
      <c r="K127" s="31"/>
      <c r="L127" s="11"/>
      <c r="M127" s="11"/>
      <c r="N127" s="37"/>
      <c r="O127" s="11"/>
      <c r="P127" s="24"/>
      <c r="R127" s="85"/>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row>
    <row r="128" spans="1:108" ht="27" customHeight="1">
      <c r="A128" s="85"/>
      <c r="D128" s="16"/>
      <c r="E128" s="16"/>
      <c r="F128" s="9"/>
      <c r="G128" s="9"/>
      <c r="H128" s="9"/>
      <c r="K128" s="31"/>
      <c r="L128" s="11"/>
      <c r="M128" s="11"/>
      <c r="N128" s="37"/>
      <c r="O128" s="11"/>
      <c r="P128" s="24"/>
      <c r="R128" s="85"/>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row>
    <row r="129" spans="1:108" ht="27" customHeight="1">
      <c r="A129" s="85"/>
      <c r="D129" s="16"/>
      <c r="E129" s="16"/>
      <c r="F129" s="9"/>
      <c r="G129" s="9"/>
      <c r="H129" s="9"/>
      <c r="K129" s="31"/>
      <c r="L129" s="11"/>
      <c r="M129" s="11"/>
      <c r="N129" s="37"/>
      <c r="O129" s="11"/>
      <c r="P129" s="24"/>
      <c r="R129" s="85"/>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row>
    <row r="130" spans="1:108" ht="27" customHeight="1">
      <c r="A130" s="85"/>
      <c r="D130" s="16"/>
      <c r="E130" s="16"/>
      <c r="F130" s="9"/>
      <c r="G130" s="9"/>
      <c r="H130" s="9"/>
      <c r="K130" s="31"/>
      <c r="L130" s="11"/>
      <c r="M130" s="11"/>
      <c r="N130" s="37"/>
      <c r="O130" s="11"/>
      <c r="P130" s="24"/>
      <c r="R130" s="85"/>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row>
    <row r="131" spans="1:108" ht="27" customHeight="1">
      <c r="A131" s="85"/>
      <c r="D131" s="16"/>
      <c r="E131" s="16"/>
      <c r="F131" s="9"/>
      <c r="G131" s="9"/>
      <c r="H131" s="9"/>
      <c r="K131" s="31"/>
      <c r="L131" s="11"/>
      <c r="M131" s="11"/>
      <c r="N131" s="37"/>
      <c r="O131" s="11"/>
      <c r="P131" s="24"/>
      <c r="R131" s="85"/>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row>
    <row r="132" spans="1:108" ht="27" customHeight="1">
      <c r="A132" s="85"/>
      <c r="D132" s="16"/>
      <c r="E132" s="16"/>
      <c r="F132" s="9"/>
      <c r="G132" s="9"/>
      <c r="H132" s="9"/>
      <c r="K132" s="31"/>
      <c r="L132" s="11"/>
      <c r="M132" s="11"/>
      <c r="N132" s="37"/>
      <c r="O132" s="11"/>
      <c r="P132" s="24"/>
      <c r="R132" s="85"/>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row>
    <row r="133" spans="1:108" ht="27" customHeight="1">
      <c r="A133" s="85"/>
      <c r="D133" s="16"/>
      <c r="E133" s="16"/>
      <c r="F133" s="9"/>
      <c r="G133" s="9"/>
      <c r="H133" s="9"/>
      <c r="K133" s="31"/>
      <c r="L133" s="11"/>
      <c r="M133" s="11"/>
      <c r="N133" s="37"/>
      <c r="O133" s="11"/>
      <c r="P133" s="24"/>
      <c r="R133" s="85"/>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row>
    <row r="134" spans="1:108" ht="27" customHeight="1">
      <c r="A134" s="85"/>
      <c r="D134" s="16"/>
      <c r="E134" s="16"/>
      <c r="F134" s="9"/>
      <c r="G134" s="9"/>
      <c r="H134" s="9"/>
      <c r="K134" s="31"/>
      <c r="L134" s="11"/>
      <c r="M134" s="11"/>
      <c r="N134" s="37"/>
      <c r="O134" s="11"/>
      <c r="P134" s="24"/>
      <c r="R134" s="85"/>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row>
    <row r="135" spans="1:108" ht="27" customHeight="1">
      <c r="A135" s="85"/>
      <c r="D135" s="16"/>
      <c r="E135" s="16"/>
      <c r="F135" s="9"/>
      <c r="G135" s="9"/>
      <c r="H135" s="9"/>
      <c r="K135" s="31"/>
      <c r="L135" s="11"/>
      <c r="M135" s="11"/>
      <c r="N135" s="37"/>
      <c r="O135" s="11"/>
      <c r="P135" s="24"/>
      <c r="R135" s="85"/>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row>
    <row r="136" spans="1:108" ht="27" customHeight="1">
      <c r="A136" s="85"/>
      <c r="D136" s="16"/>
      <c r="E136" s="16"/>
      <c r="F136" s="9"/>
      <c r="G136" s="9"/>
      <c r="H136" s="9"/>
      <c r="K136" s="31"/>
      <c r="L136" s="11"/>
      <c r="M136" s="11"/>
      <c r="N136" s="37"/>
      <c r="O136" s="11"/>
      <c r="P136" s="24"/>
      <c r="R136" s="85"/>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row>
    <row r="137" spans="1:108" ht="27" customHeight="1">
      <c r="A137" s="85"/>
      <c r="D137" s="16"/>
      <c r="E137" s="16"/>
      <c r="F137" s="9"/>
      <c r="G137" s="9"/>
      <c r="H137" s="9"/>
      <c r="K137" s="31"/>
      <c r="L137" s="11"/>
      <c r="M137" s="11"/>
      <c r="N137" s="37"/>
      <c r="O137" s="11"/>
      <c r="P137" s="24"/>
      <c r="R137" s="85"/>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row>
    <row r="138" spans="1:108" ht="27" customHeight="1">
      <c r="A138" s="85"/>
      <c r="D138" s="16"/>
      <c r="E138" s="16"/>
      <c r="F138" s="9"/>
      <c r="G138" s="9"/>
      <c r="H138" s="9"/>
      <c r="K138" s="31"/>
      <c r="L138" s="11"/>
      <c r="M138" s="11"/>
      <c r="N138" s="37"/>
      <c r="O138" s="11"/>
      <c r="P138" s="24"/>
      <c r="R138" s="85"/>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row>
    <row r="139" spans="1:108" ht="27" customHeight="1">
      <c r="A139" s="85"/>
      <c r="D139" s="16"/>
      <c r="E139" s="16"/>
      <c r="F139" s="9"/>
      <c r="G139" s="9"/>
      <c r="H139" s="9"/>
      <c r="K139" s="31"/>
      <c r="L139" s="11"/>
      <c r="M139" s="11"/>
      <c r="N139" s="37"/>
      <c r="O139" s="11"/>
      <c r="P139" s="24"/>
      <c r="R139" s="85"/>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row>
    <row r="140" spans="1:108" ht="27" customHeight="1">
      <c r="A140" s="85"/>
      <c r="D140" s="16"/>
      <c r="E140" s="16"/>
      <c r="F140" s="9"/>
      <c r="G140" s="9"/>
      <c r="H140" s="9"/>
      <c r="K140" s="31"/>
      <c r="L140" s="11"/>
      <c r="M140" s="11"/>
      <c r="N140" s="37"/>
      <c r="O140" s="11"/>
      <c r="P140" s="24"/>
      <c r="R140" s="85"/>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row>
    <row r="141" spans="1:108" ht="27" customHeight="1">
      <c r="A141" s="85"/>
      <c r="D141" s="16"/>
      <c r="E141" s="16"/>
      <c r="F141" s="9"/>
      <c r="G141" s="9"/>
      <c r="H141" s="9"/>
      <c r="K141" s="31"/>
      <c r="L141" s="11"/>
      <c r="M141" s="11"/>
      <c r="N141" s="37"/>
      <c r="O141" s="11"/>
      <c r="P141" s="24"/>
      <c r="R141" s="85"/>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row>
    <row r="142" spans="1:108" ht="27" customHeight="1">
      <c r="A142" s="85"/>
      <c r="D142" s="16"/>
      <c r="E142" s="16"/>
      <c r="F142" s="9"/>
      <c r="G142" s="9"/>
      <c r="H142" s="9"/>
      <c r="K142" s="31"/>
      <c r="L142" s="11"/>
      <c r="M142" s="11"/>
      <c r="N142" s="37"/>
      <c r="O142" s="11"/>
      <c r="P142" s="24"/>
      <c r="R142" s="85"/>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row>
    <row r="143" spans="1:108" ht="27" customHeight="1">
      <c r="A143" s="85"/>
      <c r="D143" s="16"/>
      <c r="E143" s="16"/>
      <c r="F143" s="9"/>
      <c r="G143" s="9"/>
      <c r="H143" s="9"/>
      <c r="K143" s="31"/>
      <c r="L143" s="11"/>
      <c r="M143" s="11"/>
      <c r="N143" s="37"/>
      <c r="O143" s="11"/>
      <c r="P143" s="24"/>
      <c r="R143" s="85"/>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row>
    <row r="144" spans="1:108" ht="27" customHeight="1">
      <c r="A144" s="85"/>
      <c r="D144" s="16"/>
      <c r="E144" s="16"/>
      <c r="F144" s="9"/>
      <c r="G144" s="9"/>
      <c r="H144" s="9"/>
      <c r="K144" s="31"/>
      <c r="L144" s="11"/>
      <c r="M144" s="11"/>
      <c r="N144" s="37"/>
      <c r="O144" s="11"/>
      <c r="P144" s="24"/>
      <c r="R144" s="85"/>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row>
    <row r="145" spans="1:108" ht="27" customHeight="1">
      <c r="A145" s="85"/>
      <c r="D145" s="16"/>
      <c r="E145" s="16"/>
      <c r="F145" s="9"/>
      <c r="G145" s="9"/>
      <c r="H145" s="9"/>
      <c r="K145" s="31"/>
      <c r="L145" s="11"/>
      <c r="M145" s="11"/>
      <c r="N145" s="37"/>
      <c r="O145" s="11"/>
      <c r="P145" s="24"/>
      <c r="R145" s="85"/>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row>
    <row r="146" spans="1:108" ht="27" customHeight="1">
      <c r="A146" s="85"/>
      <c r="D146" s="16"/>
      <c r="E146" s="16"/>
      <c r="F146" s="9"/>
      <c r="G146" s="9"/>
      <c r="H146" s="9"/>
      <c r="K146" s="31"/>
      <c r="L146" s="11"/>
      <c r="M146" s="11"/>
      <c r="N146" s="37"/>
      <c r="O146" s="11"/>
      <c r="P146" s="24"/>
      <c r="R146" s="85"/>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row>
    <row r="147" spans="1:108" ht="27" customHeight="1">
      <c r="A147" s="85"/>
      <c r="D147" s="16"/>
      <c r="E147" s="16"/>
      <c r="F147" s="9"/>
      <c r="G147" s="9"/>
      <c r="H147" s="9"/>
      <c r="K147" s="31"/>
      <c r="L147" s="11"/>
      <c r="M147" s="11"/>
      <c r="N147" s="37"/>
      <c r="O147" s="11"/>
      <c r="P147" s="24"/>
      <c r="R147" s="85"/>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row>
    <row r="148" spans="1:108" ht="27" customHeight="1">
      <c r="A148" s="85"/>
      <c r="D148" s="16"/>
      <c r="E148" s="16"/>
      <c r="F148" s="9"/>
      <c r="G148" s="9"/>
      <c r="H148" s="9"/>
      <c r="K148" s="31"/>
      <c r="L148" s="11"/>
      <c r="M148" s="11"/>
      <c r="N148" s="37"/>
      <c r="O148" s="11"/>
      <c r="P148" s="24"/>
      <c r="R148" s="85"/>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row>
    <row r="149" spans="1:108" ht="27" customHeight="1">
      <c r="A149" s="85"/>
      <c r="D149" s="16"/>
      <c r="E149" s="16"/>
      <c r="F149" s="9"/>
      <c r="G149" s="9"/>
      <c r="H149" s="9"/>
      <c r="K149" s="31"/>
      <c r="L149" s="11"/>
      <c r="M149" s="11"/>
      <c r="N149" s="37"/>
      <c r="O149" s="11"/>
      <c r="P149" s="24"/>
      <c r="R149" s="85"/>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row>
    <row r="150" spans="1:108" ht="27" customHeight="1">
      <c r="A150" s="85"/>
      <c r="D150" s="16"/>
      <c r="E150" s="16"/>
      <c r="F150" s="9"/>
      <c r="G150" s="9"/>
      <c r="H150" s="9"/>
      <c r="K150" s="31"/>
      <c r="L150" s="11"/>
      <c r="M150" s="11"/>
      <c r="N150" s="37"/>
      <c r="O150" s="11"/>
      <c r="P150" s="24"/>
      <c r="R150" s="85"/>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row>
    <row r="151" spans="1:108" ht="27" customHeight="1">
      <c r="A151" s="85"/>
      <c r="D151" s="16"/>
      <c r="E151" s="16"/>
      <c r="F151" s="9"/>
      <c r="G151" s="9"/>
      <c r="H151" s="9"/>
      <c r="K151" s="31"/>
      <c r="L151" s="11"/>
      <c r="M151" s="11"/>
      <c r="N151" s="37"/>
      <c r="O151" s="11"/>
      <c r="P151" s="24"/>
      <c r="R151" s="85"/>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row>
    <row r="152" spans="1:108" ht="27" customHeight="1">
      <c r="A152" s="85"/>
      <c r="D152" s="16"/>
      <c r="E152" s="16"/>
      <c r="F152" s="9"/>
      <c r="G152" s="9"/>
      <c r="H152" s="9"/>
      <c r="K152" s="31"/>
      <c r="L152" s="11"/>
      <c r="M152" s="11"/>
      <c r="N152" s="37"/>
      <c r="O152" s="11"/>
      <c r="P152" s="24"/>
      <c r="R152" s="85"/>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row>
    <row r="153" spans="1:108" ht="27" customHeight="1">
      <c r="A153" s="85"/>
      <c r="D153" s="16"/>
      <c r="E153" s="16"/>
      <c r="F153" s="9"/>
      <c r="G153" s="9"/>
      <c r="H153" s="9"/>
      <c r="K153" s="31"/>
      <c r="L153" s="11"/>
      <c r="M153" s="11"/>
      <c r="N153" s="37"/>
      <c r="O153" s="11"/>
      <c r="P153" s="24"/>
      <c r="R153" s="85"/>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row>
    <row r="154" spans="1:108" ht="27" customHeight="1">
      <c r="A154" s="85"/>
      <c r="D154" s="16"/>
      <c r="E154" s="16"/>
      <c r="F154" s="9"/>
      <c r="G154" s="9"/>
      <c r="H154" s="9"/>
      <c r="K154" s="31"/>
      <c r="L154" s="11"/>
      <c r="M154" s="11"/>
      <c r="N154" s="37"/>
      <c r="O154" s="11"/>
      <c r="P154" s="24"/>
      <c r="R154" s="85"/>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row>
    <row r="155" spans="1:108" ht="27" customHeight="1">
      <c r="A155" s="85"/>
      <c r="D155" s="16"/>
      <c r="E155" s="16"/>
      <c r="F155" s="9"/>
      <c r="G155" s="9"/>
      <c r="H155" s="9"/>
      <c r="K155" s="31"/>
      <c r="L155" s="11"/>
      <c r="M155" s="11"/>
      <c r="N155" s="37"/>
      <c r="O155" s="11"/>
      <c r="P155" s="24"/>
      <c r="R155" s="85"/>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row>
    <row r="156" spans="1:108" ht="27" customHeight="1">
      <c r="A156" s="85"/>
      <c r="D156" s="16"/>
      <c r="E156" s="16"/>
      <c r="F156" s="9"/>
      <c r="G156" s="9"/>
      <c r="H156" s="9"/>
      <c r="K156" s="31"/>
      <c r="L156" s="11"/>
      <c r="M156" s="11"/>
      <c r="N156" s="37"/>
      <c r="O156" s="11"/>
      <c r="P156" s="24"/>
      <c r="R156" s="85"/>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row>
    <row r="157" spans="1:108" ht="27" customHeight="1">
      <c r="A157" s="85"/>
      <c r="D157" s="16"/>
      <c r="E157" s="16"/>
      <c r="F157" s="9"/>
      <c r="G157" s="9"/>
      <c r="H157" s="9"/>
      <c r="K157" s="31"/>
      <c r="L157" s="11"/>
      <c r="M157" s="11"/>
      <c r="N157" s="37"/>
      <c r="O157" s="11"/>
      <c r="P157" s="24"/>
      <c r="R157" s="85"/>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row>
    <row r="158" spans="1:108" ht="27" customHeight="1">
      <c r="A158" s="85"/>
      <c r="D158" s="16"/>
      <c r="E158" s="16"/>
      <c r="F158" s="9"/>
      <c r="G158" s="9"/>
      <c r="H158" s="9"/>
      <c r="K158" s="31"/>
      <c r="L158" s="11"/>
      <c r="M158" s="11"/>
      <c r="N158" s="37"/>
      <c r="O158" s="11"/>
      <c r="P158" s="24"/>
      <c r="R158" s="85"/>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row>
    <row r="159" spans="1:108" ht="27" customHeight="1">
      <c r="A159" s="85"/>
      <c r="D159" s="16"/>
      <c r="E159" s="16"/>
      <c r="F159" s="9"/>
      <c r="G159" s="9"/>
      <c r="H159" s="9"/>
      <c r="K159" s="31"/>
      <c r="L159" s="11"/>
      <c r="M159" s="11"/>
      <c r="N159" s="37"/>
      <c r="O159" s="11"/>
      <c r="P159" s="24"/>
      <c r="R159" s="85"/>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row>
    <row r="160" spans="1:108" ht="27" customHeight="1">
      <c r="A160" s="85"/>
      <c r="D160" s="16"/>
      <c r="E160" s="16"/>
      <c r="F160" s="9"/>
      <c r="G160" s="9"/>
      <c r="H160" s="9"/>
      <c r="K160" s="31"/>
      <c r="L160" s="11"/>
      <c r="M160" s="11"/>
      <c r="N160" s="37"/>
      <c r="O160" s="11"/>
      <c r="P160" s="24"/>
      <c r="R160" s="85"/>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row>
    <row r="161" spans="1:108" ht="27" customHeight="1">
      <c r="A161" s="85"/>
      <c r="D161" s="16"/>
      <c r="E161" s="16"/>
      <c r="F161" s="9"/>
      <c r="G161" s="9"/>
      <c r="H161" s="9"/>
      <c r="K161" s="31"/>
      <c r="L161" s="11"/>
      <c r="M161" s="11"/>
      <c r="N161" s="37"/>
      <c r="O161" s="11"/>
      <c r="P161" s="24"/>
      <c r="R161" s="85"/>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row>
    <row r="162" spans="1:108" ht="27" customHeight="1">
      <c r="A162" s="85"/>
      <c r="D162" s="16"/>
      <c r="E162" s="16"/>
      <c r="F162" s="9"/>
      <c r="G162" s="9"/>
      <c r="H162" s="9"/>
      <c r="K162" s="31"/>
      <c r="L162" s="11"/>
      <c r="M162" s="11"/>
      <c r="N162" s="37"/>
      <c r="O162" s="11"/>
      <c r="P162" s="24"/>
      <c r="R162" s="85"/>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row>
    <row r="163" spans="1:108" ht="27" customHeight="1">
      <c r="A163" s="85"/>
      <c r="D163" s="16"/>
      <c r="E163" s="16"/>
      <c r="F163" s="9"/>
      <c r="G163" s="9"/>
      <c r="H163" s="9"/>
      <c r="K163" s="31"/>
      <c r="L163" s="11"/>
      <c r="M163" s="11"/>
      <c r="N163" s="37"/>
      <c r="O163" s="11"/>
      <c r="P163" s="24"/>
      <c r="R163" s="85"/>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row>
    <row r="164" spans="1:108" ht="27" customHeight="1">
      <c r="A164" s="85"/>
      <c r="D164" s="16"/>
      <c r="E164" s="16"/>
      <c r="F164" s="9"/>
      <c r="G164" s="9"/>
      <c r="H164" s="9"/>
      <c r="K164" s="31"/>
      <c r="L164" s="11"/>
      <c r="M164" s="11"/>
      <c r="N164" s="37"/>
      <c r="O164" s="11"/>
      <c r="P164" s="24"/>
      <c r="R164" s="85"/>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row>
    <row r="165" spans="1:108" ht="27" customHeight="1">
      <c r="A165" s="85"/>
      <c r="D165" s="16"/>
      <c r="E165" s="16"/>
      <c r="F165" s="9"/>
      <c r="G165" s="9"/>
      <c r="H165" s="9"/>
      <c r="K165" s="31"/>
      <c r="L165" s="11"/>
      <c r="M165" s="11"/>
      <c r="N165" s="37"/>
      <c r="O165" s="11"/>
      <c r="P165" s="24"/>
      <c r="R165" s="85"/>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row>
    <row r="166" spans="1:108" ht="27" customHeight="1">
      <c r="A166" s="85"/>
      <c r="D166" s="16"/>
      <c r="E166" s="16"/>
      <c r="F166" s="9"/>
      <c r="G166" s="9"/>
      <c r="H166" s="9"/>
      <c r="K166" s="31"/>
      <c r="L166" s="11"/>
      <c r="M166" s="11"/>
      <c r="N166" s="37"/>
      <c r="O166" s="11"/>
      <c r="P166" s="24"/>
      <c r="R166" s="85"/>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row>
    <row r="167" spans="1:108" ht="27" customHeight="1">
      <c r="A167" s="85"/>
      <c r="D167" s="16"/>
      <c r="E167" s="16"/>
      <c r="F167" s="9"/>
      <c r="G167" s="9"/>
      <c r="H167" s="9"/>
      <c r="K167" s="31"/>
      <c r="L167" s="11"/>
      <c r="M167" s="11"/>
      <c r="N167" s="37"/>
      <c r="O167" s="11"/>
      <c r="P167" s="24"/>
      <c r="R167" s="85"/>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row>
    <row r="168" spans="1:108" ht="27" customHeight="1">
      <c r="A168" s="85"/>
      <c r="D168" s="16"/>
      <c r="E168" s="16"/>
      <c r="F168" s="9"/>
      <c r="G168" s="9"/>
      <c r="H168" s="9"/>
      <c r="K168" s="31"/>
      <c r="L168" s="11"/>
      <c r="M168" s="11"/>
      <c r="N168" s="37"/>
      <c r="O168" s="11"/>
      <c r="P168" s="24"/>
      <c r="R168" s="85"/>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row>
    <row r="169" spans="1:108" ht="27" customHeight="1">
      <c r="A169" s="85"/>
      <c r="D169" s="16"/>
      <c r="E169" s="16"/>
      <c r="F169" s="9"/>
      <c r="G169" s="9"/>
      <c r="H169" s="9"/>
      <c r="K169" s="31"/>
      <c r="L169" s="11"/>
      <c r="M169" s="11"/>
      <c r="N169" s="37"/>
      <c r="O169" s="11"/>
      <c r="P169" s="24"/>
      <c r="R169" s="85"/>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row>
    <row r="170" spans="1:108" ht="27" customHeight="1">
      <c r="A170" s="85"/>
      <c r="D170" s="16"/>
      <c r="E170" s="16"/>
      <c r="F170" s="9"/>
      <c r="G170" s="9"/>
      <c r="H170" s="9"/>
      <c r="K170" s="31"/>
      <c r="L170" s="11"/>
      <c r="M170" s="11"/>
      <c r="N170" s="37"/>
      <c r="O170" s="11"/>
      <c r="P170" s="24"/>
      <c r="R170" s="85"/>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row>
    <row r="171" spans="1:108" ht="27" customHeight="1">
      <c r="A171" s="85"/>
      <c r="D171" s="16"/>
      <c r="E171" s="16"/>
      <c r="F171" s="9"/>
      <c r="G171" s="9"/>
      <c r="H171" s="9"/>
      <c r="K171" s="31"/>
      <c r="L171" s="11"/>
      <c r="M171" s="11"/>
      <c r="N171" s="37"/>
      <c r="O171" s="11"/>
      <c r="P171" s="24"/>
      <c r="R171" s="85"/>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row>
    <row r="172" spans="1:108" ht="27" customHeight="1">
      <c r="A172" s="85"/>
      <c r="D172" s="16"/>
      <c r="E172" s="16"/>
      <c r="F172" s="9"/>
      <c r="G172" s="9"/>
      <c r="H172" s="9"/>
      <c r="K172" s="31"/>
      <c r="L172" s="11"/>
      <c r="M172" s="11"/>
      <c r="N172" s="37"/>
      <c r="O172" s="11"/>
      <c r="P172" s="24"/>
      <c r="R172" s="85"/>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row>
    <row r="173" spans="1:108" ht="27" customHeight="1">
      <c r="A173" s="85"/>
      <c r="D173" s="16"/>
      <c r="E173" s="16"/>
      <c r="F173" s="9"/>
      <c r="G173" s="9"/>
      <c r="H173" s="9"/>
      <c r="K173" s="31"/>
      <c r="L173" s="11"/>
      <c r="M173" s="11"/>
      <c r="N173" s="37"/>
      <c r="O173" s="11"/>
      <c r="P173" s="24"/>
      <c r="R173" s="85"/>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row>
    <row r="174" spans="1:108" ht="27" customHeight="1">
      <c r="A174" s="85"/>
      <c r="D174" s="16"/>
      <c r="E174" s="16"/>
      <c r="F174" s="9"/>
      <c r="G174" s="9"/>
      <c r="H174" s="9"/>
      <c r="K174" s="31"/>
      <c r="L174" s="11"/>
      <c r="M174" s="11"/>
      <c r="N174" s="37"/>
      <c r="O174" s="11"/>
      <c r="P174" s="24"/>
      <c r="R174" s="85"/>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row>
    <row r="175" spans="1:108" ht="27" customHeight="1">
      <c r="A175" s="85"/>
      <c r="D175" s="16"/>
      <c r="E175" s="16"/>
      <c r="F175" s="9"/>
      <c r="G175" s="9"/>
      <c r="H175" s="9"/>
      <c r="K175" s="31"/>
      <c r="L175" s="11"/>
      <c r="M175" s="11"/>
      <c r="N175" s="37"/>
      <c r="O175" s="11"/>
      <c r="P175" s="24"/>
      <c r="R175" s="85"/>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row>
    <row r="176" spans="1:108" ht="27" customHeight="1">
      <c r="A176" s="85"/>
      <c r="D176" s="16"/>
      <c r="E176" s="16"/>
      <c r="F176" s="9"/>
      <c r="G176" s="9"/>
      <c r="H176" s="9"/>
      <c r="K176" s="31"/>
      <c r="L176" s="11"/>
      <c r="M176" s="11"/>
      <c r="N176" s="37"/>
      <c r="O176" s="11"/>
      <c r="P176" s="24"/>
      <c r="R176" s="85"/>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row>
    <row r="177" spans="1:108" ht="27" customHeight="1">
      <c r="A177" s="85"/>
      <c r="D177" s="16"/>
      <c r="E177" s="16"/>
      <c r="F177" s="9"/>
      <c r="G177" s="9"/>
      <c r="H177" s="9"/>
      <c r="K177" s="31"/>
      <c r="L177" s="11"/>
      <c r="M177" s="11"/>
      <c r="N177" s="37"/>
      <c r="O177" s="11"/>
      <c r="P177" s="24"/>
      <c r="R177" s="85"/>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row>
    <row r="178" spans="1:108" ht="27" customHeight="1">
      <c r="A178" s="85"/>
      <c r="D178" s="16"/>
      <c r="E178" s="16"/>
      <c r="F178" s="9"/>
      <c r="G178" s="9"/>
      <c r="H178" s="9"/>
      <c r="K178" s="31"/>
      <c r="L178" s="11"/>
      <c r="M178" s="11"/>
      <c r="N178" s="37"/>
      <c r="O178" s="11"/>
      <c r="P178" s="24"/>
      <c r="R178" s="85"/>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row>
    <row r="179" spans="1:108" ht="27" customHeight="1">
      <c r="A179" s="85"/>
      <c r="D179" s="16"/>
      <c r="E179" s="16"/>
      <c r="F179" s="9"/>
      <c r="G179" s="9"/>
      <c r="H179" s="9"/>
      <c r="K179" s="31"/>
      <c r="L179" s="11"/>
      <c r="M179" s="11"/>
      <c r="N179" s="37"/>
      <c r="O179" s="11"/>
      <c r="P179" s="24"/>
      <c r="R179" s="85"/>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row>
    <row r="180" spans="1:108" ht="27" customHeight="1">
      <c r="A180" s="85"/>
      <c r="D180" s="16"/>
      <c r="E180" s="16"/>
      <c r="F180" s="9"/>
      <c r="G180" s="9"/>
      <c r="H180" s="9"/>
      <c r="K180" s="31"/>
      <c r="L180" s="11"/>
      <c r="M180" s="11"/>
      <c r="N180" s="37"/>
      <c r="O180" s="11"/>
      <c r="P180" s="24"/>
      <c r="R180" s="85"/>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row>
    <row r="181" spans="1:108" ht="27" customHeight="1">
      <c r="A181" s="85"/>
      <c r="D181" s="16"/>
      <c r="E181" s="16"/>
      <c r="F181" s="9"/>
      <c r="G181" s="9"/>
      <c r="H181" s="9"/>
      <c r="K181" s="31"/>
      <c r="L181" s="11"/>
      <c r="M181" s="11"/>
      <c r="N181" s="37"/>
      <c r="O181" s="11"/>
      <c r="P181" s="24"/>
      <c r="R181" s="85"/>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row>
    <row r="182" spans="1:108" ht="27" customHeight="1">
      <c r="A182" s="85"/>
      <c r="D182" s="16"/>
      <c r="E182" s="16"/>
      <c r="F182" s="9"/>
      <c r="G182" s="9"/>
      <c r="H182" s="9"/>
      <c r="K182" s="31"/>
      <c r="L182" s="11"/>
      <c r="M182" s="11"/>
      <c r="N182" s="37"/>
      <c r="O182" s="11"/>
      <c r="P182" s="24"/>
      <c r="R182" s="85"/>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row>
    <row r="183" spans="1:108" ht="27" customHeight="1">
      <c r="A183" s="85"/>
      <c r="D183" s="16"/>
      <c r="E183" s="16"/>
      <c r="F183" s="9"/>
      <c r="G183" s="9"/>
      <c r="H183" s="9"/>
      <c r="K183" s="31"/>
      <c r="L183" s="11"/>
      <c r="M183" s="11"/>
      <c r="N183" s="37"/>
      <c r="O183" s="11"/>
      <c r="P183" s="24"/>
      <c r="R183" s="85"/>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row>
    <row r="184" spans="1:108" ht="27" customHeight="1">
      <c r="A184" s="85"/>
      <c r="D184" s="16"/>
      <c r="E184" s="16"/>
      <c r="F184" s="9"/>
      <c r="G184" s="9"/>
      <c r="H184" s="9"/>
      <c r="K184" s="31"/>
      <c r="L184" s="11"/>
      <c r="M184" s="11"/>
      <c r="N184" s="37"/>
      <c r="O184" s="11"/>
      <c r="P184" s="24"/>
      <c r="R184" s="85"/>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row>
    <row r="185" spans="1:108" ht="27" customHeight="1">
      <c r="A185" s="85"/>
      <c r="D185" s="16"/>
      <c r="E185" s="16"/>
      <c r="F185" s="9"/>
      <c r="G185" s="9"/>
      <c r="H185" s="9"/>
      <c r="K185" s="31"/>
      <c r="L185" s="11"/>
      <c r="M185" s="11"/>
      <c r="N185" s="37"/>
      <c r="O185" s="11"/>
      <c r="P185" s="24"/>
      <c r="R185" s="85"/>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row>
    <row r="186" spans="1:108" ht="27" customHeight="1">
      <c r="A186" s="85"/>
      <c r="D186" s="16"/>
      <c r="E186" s="16"/>
      <c r="F186" s="9"/>
      <c r="G186" s="9"/>
      <c r="H186" s="9"/>
      <c r="K186" s="31"/>
      <c r="L186" s="11"/>
      <c r="M186" s="11"/>
      <c r="N186" s="37"/>
      <c r="O186" s="11"/>
      <c r="P186" s="24"/>
      <c r="R186" s="85"/>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row>
    <row r="187" spans="1:108" ht="27" customHeight="1">
      <c r="A187" s="85"/>
      <c r="D187" s="16"/>
      <c r="E187" s="16"/>
      <c r="F187" s="9"/>
      <c r="G187" s="9"/>
      <c r="H187" s="9"/>
      <c r="K187" s="31"/>
      <c r="L187" s="11"/>
      <c r="M187" s="11"/>
      <c r="N187" s="37"/>
      <c r="O187" s="11"/>
      <c r="P187" s="24"/>
      <c r="R187" s="85"/>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row>
    <row r="188" spans="1:108" ht="27" customHeight="1">
      <c r="A188" s="85"/>
      <c r="D188" s="16"/>
      <c r="E188" s="16"/>
      <c r="F188" s="9"/>
      <c r="G188" s="9"/>
      <c r="H188" s="9"/>
      <c r="K188" s="31"/>
      <c r="L188" s="11"/>
      <c r="M188" s="11"/>
      <c r="N188" s="37"/>
      <c r="O188" s="11"/>
      <c r="P188" s="24"/>
      <c r="R188" s="85"/>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row>
    <row r="189" spans="1:108" ht="27" customHeight="1">
      <c r="A189" s="85"/>
      <c r="D189" s="16"/>
      <c r="E189" s="16"/>
      <c r="F189" s="9"/>
      <c r="G189" s="9"/>
      <c r="H189" s="9"/>
      <c r="K189" s="31"/>
      <c r="L189" s="11"/>
      <c r="M189" s="11"/>
      <c r="N189" s="37"/>
      <c r="O189" s="11"/>
      <c r="P189" s="24"/>
      <c r="R189" s="85"/>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row>
    <row r="190" spans="1:108" ht="27" customHeight="1">
      <c r="A190" s="85"/>
      <c r="D190" s="16"/>
      <c r="E190" s="16"/>
      <c r="F190" s="9"/>
      <c r="G190" s="9"/>
      <c r="H190" s="9"/>
      <c r="K190" s="31"/>
      <c r="L190" s="11"/>
      <c r="M190" s="11"/>
      <c r="N190" s="37"/>
      <c r="O190" s="11"/>
      <c r="P190" s="24"/>
      <c r="R190" s="85"/>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row>
    <row r="191" spans="1:108" ht="27" customHeight="1">
      <c r="A191" s="85"/>
      <c r="D191" s="16"/>
      <c r="E191" s="16"/>
      <c r="F191" s="9"/>
      <c r="G191" s="9"/>
      <c r="H191" s="9"/>
      <c r="K191" s="31"/>
      <c r="L191" s="11"/>
      <c r="M191" s="11"/>
      <c r="N191" s="37"/>
      <c r="O191" s="11"/>
      <c r="P191" s="24"/>
      <c r="R191" s="85"/>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row>
    <row r="192" spans="1:108" ht="27" customHeight="1">
      <c r="A192" s="85"/>
      <c r="D192" s="16"/>
      <c r="E192" s="16"/>
      <c r="F192" s="9"/>
      <c r="G192" s="9"/>
      <c r="H192" s="9"/>
      <c r="K192" s="31"/>
      <c r="L192" s="11"/>
      <c r="M192" s="11"/>
      <c r="N192" s="37"/>
      <c r="O192" s="11"/>
      <c r="P192" s="24"/>
      <c r="R192" s="85"/>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row>
    <row r="193" spans="1:108" ht="27" customHeight="1">
      <c r="A193" s="85"/>
      <c r="D193" s="16"/>
      <c r="E193" s="16"/>
      <c r="F193" s="9"/>
      <c r="G193" s="9"/>
      <c r="H193" s="9"/>
      <c r="K193" s="31"/>
      <c r="L193" s="11"/>
      <c r="M193" s="11"/>
      <c r="N193" s="37"/>
      <c r="O193" s="11"/>
      <c r="P193" s="24"/>
      <c r="R193" s="85"/>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row>
    <row r="194" spans="1:108" ht="27" customHeight="1">
      <c r="A194" s="85"/>
      <c r="D194" s="16"/>
      <c r="E194" s="16"/>
      <c r="F194" s="9"/>
      <c r="G194" s="9"/>
      <c r="H194" s="9"/>
      <c r="K194" s="31"/>
      <c r="L194" s="11"/>
      <c r="M194" s="11"/>
      <c r="N194" s="37"/>
      <c r="O194" s="11"/>
      <c r="P194" s="24"/>
      <c r="R194" s="85"/>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row>
    <row r="195" spans="1:108" ht="27" customHeight="1">
      <c r="A195" s="85"/>
      <c r="D195" s="16"/>
      <c r="E195" s="16"/>
      <c r="F195" s="9"/>
      <c r="G195" s="9"/>
      <c r="H195" s="9"/>
      <c r="K195" s="31"/>
      <c r="L195" s="11"/>
      <c r="M195" s="11"/>
      <c r="N195" s="37"/>
      <c r="O195" s="11"/>
      <c r="P195" s="24"/>
      <c r="R195" s="85"/>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row>
    <row r="196" spans="1:108" ht="27" customHeight="1">
      <c r="A196" s="85"/>
      <c r="D196" s="16"/>
      <c r="E196" s="16"/>
      <c r="F196" s="9"/>
      <c r="G196" s="9"/>
      <c r="H196" s="9"/>
      <c r="K196" s="31"/>
      <c r="L196" s="11"/>
      <c r="M196" s="11"/>
      <c r="N196" s="37"/>
      <c r="O196" s="11"/>
      <c r="P196" s="24"/>
      <c r="R196" s="85"/>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row>
    <row r="197" spans="1:108" ht="27" customHeight="1">
      <c r="A197" s="85"/>
      <c r="D197" s="16"/>
      <c r="E197" s="16"/>
      <c r="F197" s="9"/>
      <c r="G197" s="9"/>
      <c r="H197" s="9"/>
      <c r="K197" s="31"/>
      <c r="L197" s="11"/>
      <c r="M197" s="11"/>
      <c r="N197" s="37"/>
      <c r="O197" s="11"/>
      <c r="P197" s="24"/>
      <c r="R197" s="85"/>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row>
    <row r="198" spans="1:108" ht="27" customHeight="1">
      <c r="A198" s="85"/>
      <c r="D198" s="16"/>
      <c r="E198" s="16"/>
      <c r="F198" s="9"/>
      <c r="G198" s="9"/>
      <c r="H198" s="9"/>
      <c r="K198" s="31"/>
      <c r="L198" s="11"/>
      <c r="M198" s="11"/>
      <c r="N198" s="37"/>
      <c r="O198" s="11"/>
      <c r="P198" s="24"/>
      <c r="R198" s="85"/>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row>
    <row r="199" spans="1:108" ht="27" customHeight="1">
      <c r="A199" s="85"/>
      <c r="D199" s="16"/>
      <c r="E199" s="16"/>
      <c r="F199" s="9"/>
      <c r="G199" s="9"/>
      <c r="H199" s="9"/>
      <c r="K199" s="31"/>
      <c r="L199" s="11"/>
      <c r="M199" s="11"/>
      <c r="N199" s="37"/>
      <c r="O199" s="11"/>
      <c r="P199" s="24"/>
      <c r="R199" s="85"/>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row>
    <row r="200" spans="1:108" ht="27" customHeight="1">
      <c r="A200" s="85"/>
      <c r="D200" s="16"/>
      <c r="E200" s="16"/>
      <c r="F200" s="9"/>
      <c r="G200" s="9"/>
      <c r="H200" s="9"/>
      <c r="K200" s="31"/>
      <c r="L200" s="11"/>
      <c r="M200" s="11"/>
      <c r="N200" s="37"/>
      <c r="O200" s="11"/>
      <c r="P200" s="24"/>
      <c r="R200" s="85"/>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row>
    <row r="201" spans="1:108" ht="27" customHeight="1">
      <c r="A201" s="85"/>
      <c r="D201" s="16"/>
      <c r="E201" s="16"/>
      <c r="F201" s="9"/>
      <c r="G201" s="9"/>
      <c r="H201" s="9"/>
      <c r="K201" s="32"/>
      <c r="L201" s="17"/>
      <c r="M201" s="17"/>
      <c r="N201" s="39"/>
      <c r="O201" s="11"/>
      <c r="P201" s="26"/>
      <c r="R201" s="85"/>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row>
    <row r="202" spans="1:108" ht="27" customHeight="1">
      <c r="A202" s="85"/>
      <c r="D202" s="16"/>
      <c r="E202" s="16"/>
      <c r="F202" s="9"/>
      <c r="G202" s="9"/>
      <c r="H202" s="9"/>
      <c r="K202" s="32"/>
      <c r="L202" s="17"/>
      <c r="M202" s="17"/>
      <c r="N202" s="39"/>
      <c r="O202" s="11"/>
      <c r="P202" s="26"/>
      <c r="R202" s="85"/>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row>
    <row r="203" spans="1:108" ht="27" customHeight="1">
      <c r="A203" s="85"/>
      <c r="D203" s="16"/>
      <c r="E203" s="16"/>
      <c r="F203" s="9"/>
      <c r="G203" s="9"/>
      <c r="H203" s="9"/>
      <c r="K203" s="32"/>
      <c r="L203" s="17"/>
      <c r="M203" s="17"/>
      <c r="N203" s="39"/>
      <c r="O203" s="11"/>
      <c r="P203" s="26"/>
      <c r="R203" s="85"/>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row>
    <row r="204" spans="1:108" ht="27" customHeight="1">
      <c r="A204" s="85"/>
      <c r="D204" s="16"/>
      <c r="E204" s="16"/>
      <c r="F204" s="9"/>
      <c r="G204" s="9"/>
      <c r="H204" s="9"/>
      <c r="K204" s="32"/>
      <c r="L204" s="17"/>
      <c r="M204" s="17"/>
      <c r="N204" s="39"/>
      <c r="O204" s="11"/>
      <c r="P204" s="26"/>
      <c r="R204" s="85"/>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row>
    <row r="205" spans="1:108" ht="27" customHeight="1">
      <c r="A205" s="85"/>
      <c r="D205" s="16"/>
      <c r="E205" s="16"/>
      <c r="F205" s="9"/>
      <c r="G205" s="9"/>
      <c r="H205" s="9"/>
      <c r="K205" s="32"/>
      <c r="L205" s="17"/>
      <c r="M205" s="17"/>
      <c r="N205" s="39"/>
      <c r="O205" s="11"/>
      <c r="P205" s="26"/>
      <c r="R205" s="85"/>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row>
    <row r="206" spans="1:108" ht="27" customHeight="1">
      <c r="A206" s="85"/>
      <c r="D206" s="16"/>
      <c r="E206" s="16"/>
      <c r="F206" s="9"/>
      <c r="G206" s="9"/>
      <c r="H206" s="9"/>
      <c r="K206" s="32"/>
      <c r="L206" s="17"/>
      <c r="M206" s="17"/>
      <c r="N206" s="39"/>
      <c r="O206" s="11"/>
      <c r="P206" s="26"/>
      <c r="R206" s="85"/>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row>
    <row r="207" spans="1:108" ht="27" customHeight="1">
      <c r="A207" s="85"/>
      <c r="D207" s="16"/>
      <c r="E207" s="16"/>
      <c r="F207" s="9"/>
      <c r="G207" s="9"/>
      <c r="H207" s="9"/>
      <c r="K207" s="32"/>
      <c r="L207" s="17"/>
      <c r="M207" s="17"/>
      <c r="N207" s="39"/>
      <c r="O207" s="11"/>
      <c r="P207" s="26"/>
      <c r="R207" s="85"/>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row>
    <row r="208" spans="1:108" ht="27" customHeight="1">
      <c r="A208" s="85"/>
      <c r="D208" s="16"/>
      <c r="E208" s="16"/>
      <c r="F208" s="9"/>
      <c r="G208" s="9"/>
      <c r="H208" s="9"/>
      <c r="K208" s="32"/>
      <c r="L208" s="17"/>
      <c r="M208" s="17"/>
      <c r="N208" s="39"/>
      <c r="O208" s="11"/>
      <c r="P208" s="26"/>
      <c r="R208" s="85"/>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row>
    <row r="209" spans="1:108" ht="27" customHeight="1">
      <c r="A209" s="85"/>
      <c r="D209" s="16"/>
      <c r="E209" s="16"/>
      <c r="F209" s="9"/>
      <c r="G209" s="9"/>
      <c r="H209" s="9"/>
      <c r="K209" s="32"/>
      <c r="L209" s="17"/>
      <c r="M209" s="17"/>
      <c r="N209" s="39"/>
      <c r="O209" s="11"/>
      <c r="P209" s="26"/>
      <c r="R209" s="85"/>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row>
    <row r="210" spans="1:108" ht="27" customHeight="1">
      <c r="A210" s="85"/>
      <c r="D210" s="16"/>
      <c r="E210" s="16"/>
      <c r="F210" s="9"/>
      <c r="G210" s="9"/>
      <c r="H210" s="9"/>
      <c r="K210" s="32"/>
      <c r="L210" s="17"/>
      <c r="M210" s="17"/>
      <c r="N210" s="39"/>
      <c r="O210" s="11"/>
      <c r="P210" s="26"/>
      <c r="R210" s="85"/>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row>
    <row r="211" spans="1:108" ht="27" customHeight="1">
      <c r="A211" s="85"/>
      <c r="D211" s="16"/>
      <c r="E211" s="16"/>
      <c r="F211" s="9"/>
      <c r="G211" s="9"/>
      <c r="H211" s="9"/>
      <c r="K211" s="32"/>
      <c r="L211" s="17"/>
      <c r="M211" s="17"/>
      <c r="N211" s="39"/>
      <c r="O211" s="11"/>
      <c r="P211" s="26"/>
      <c r="R211" s="85"/>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row>
    <row r="212" spans="1:108" ht="27" customHeight="1">
      <c r="A212" s="85"/>
      <c r="D212" s="16"/>
      <c r="E212" s="16"/>
      <c r="F212" s="9"/>
      <c r="G212" s="9"/>
      <c r="H212" s="9"/>
      <c r="K212" s="32"/>
      <c r="L212" s="17"/>
      <c r="M212" s="17"/>
      <c r="N212" s="39"/>
      <c r="O212" s="11"/>
      <c r="P212" s="26"/>
      <c r="R212" s="85"/>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row>
    <row r="213" spans="1:108" ht="27" customHeight="1">
      <c r="A213" s="85"/>
      <c r="D213" s="16"/>
      <c r="E213" s="16"/>
      <c r="F213" s="9"/>
      <c r="G213" s="9"/>
      <c r="H213" s="9"/>
      <c r="K213" s="32"/>
      <c r="L213" s="17"/>
      <c r="M213" s="17"/>
      <c r="N213" s="39"/>
      <c r="O213" s="11"/>
      <c r="P213" s="26"/>
      <c r="R213" s="85"/>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row>
    <row r="214" spans="1:108" ht="27" customHeight="1">
      <c r="A214" s="85"/>
      <c r="D214" s="16"/>
      <c r="E214" s="16"/>
      <c r="F214" s="9"/>
      <c r="G214" s="9"/>
      <c r="H214" s="9"/>
      <c r="K214" s="32"/>
      <c r="L214" s="17"/>
      <c r="M214" s="17"/>
      <c r="N214" s="39"/>
      <c r="O214" s="11"/>
      <c r="P214" s="26"/>
      <c r="R214" s="85"/>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row>
    <row r="215" spans="1:108" ht="27" customHeight="1">
      <c r="A215" s="85"/>
      <c r="D215" s="16"/>
      <c r="E215" s="16"/>
      <c r="F215" s="9"/>
      <c r="G215" s="9"/>
      <c r="H215" s="9"/>
      <c r="K215" s="32"/>
      <c r="L215" s="17"/>
      <c r="M215" s="17"/>
      <c r="N215" s="39"/>
      <c r="O215" s="11"/>
      <c r="P215" s="26"/>
      <c r="R215" s="85"/>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row>
    <row r="216" spans="1:108" ht="27" customHeight="1">
      <c r="A216" s="85"/>
      <c r="D216" s="16"/>
      <c r="E216" s="16"/>
      <c r="F216" s="9"/>
      <c r="G216" s="9"/>
      <c r="H216" s="9"/>
      <c r="K216" s="32"/>
      <c r="L216" s="17"/>
      <c r="M216" s="17"/>
      <c r="N216" s="39"/>
      <c r="O216" s="11"/>
      <c r="P216" s="26"/>
      <c r="R216" s="85"/>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row>
    <row r="217" spans="1:108" ht="27" customHeight="1">
      <c r="A217" s="85"/>
      <c r="D217" s="16"/>
      <c r="E217" s="16"/>
      <c r="F217" s="9"/>
      <c r="G217" s="9"/>
      <c r="H217" s="9"/>
      <c r="K217" s="32"/>
      <c r="L217" s="17"/>
      <c r="M217" s="17"/>
      <c r="N217" s="39"/>
      <c r="O217" s="11"/>
      <c r="P217" s="26"/>
      <c r="R217" s="85"/>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row>
    <row r="218" spans="1:108" ht="27" customHeight="1">
      <c r="A218" s="85"/>
      <c r="D218" s="16"/>
      <c r="E218" s="16"/>
      <c r="F218" s="9"/>
      <c r="G218" s="9"/>
      <c r="H218" s="9"/>
      <c r="K218" s="32"/>
      <c r="L218" s="17"/>
      <c r="M218" s="17"/>
      <c r="N218" s="39"/>
      <c r="O218" s="11"/>
      <c r="P218" s="26"/>
      <c r="R218" s="85"/>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row>
    <row r="219" spans="1:108" ht="27" customHeight="1">
      <c r="A219" s="85"/>
      <c r="D219" s="16"/>
      <c r="E219" s="16"/>
      <c r="F219" s="9"/>
      <c r="G219" s="9"/>
      <c r="H219" s="9"/>
      <c r="K219" s="32"/>
      <c r="L219" s="17"/>
      <c r="M219" s="17"/>
      <c r="N219" s="39"/>
      <c r="O219" s="11"/>
      <c r="P219" s="26"/>
      <c r="R219" s="85"/>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row>
    <row r="220" spans="1:108" ht="27" customHeight="1">
      <c r="A220" s="85"/>
      <c r="D220" s="16"/>
      <c r="E220" s="16"/>
      <c r="F220" s="9"/>
      <c r="G220" s="9"/>
      <c r="H220" s="9"/>
      <c r="K220" s="33"/>
      <c r="L220" s="19"/>
      <c r="M220" s="19"/>
      <c r="N220" s="40"/>
      <c r="O220" s="18"/>
      <c r="P220" s="27"/>
      <c r="R220" s="85"/>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row>
    <row r="221" spans="1:108" ht="27" customHeight="1">
      <c r="A221" s="85"/>
      <c r="D221" s="16"/>
      <c r="E221" s="16"/>
      <c r="F221" s="9"/>
      <c r="G221" s="9"/>
      <c r="H221" s="9"/>
      <c r="R221" s="85"/>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row>
    <row r="222" spans="1:108" ht="27" customHeight="1">
      <c r="A222" s="85"/>
      <c r="D222" s="16"/>
      <c r="E222" s="16"/>
      <c r="F222" s="9"/>
      <c r="G222" s="9"/>
      <c r="H222" s="9"/>
      <c r="K222" s="46"/>
      <c r="L222" s="47"/>
      <c r="M222" s="48"/>
      <c r="N222" s="49"/>
      <c r="O222" s="42"/>
      <c r="P222" s="42"/>
      <c r="R222" s="85"/>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row>
    <row r="223" spans="1:108" ht="21" customHeight="1">
      <c r="A223" s="85"/>
      <c r="B223" s="85"/>
      <c r="C223" s="85"/>
      <c r="D223" s="85"/>
      <c r="E223" s="85"/>
      <c r="F223" s="85"/>
      <c r="G223" s="85"/>
      <c r="H223" s="85"/>
      <c r="I223" s="85"/>
      <c r="J223" s="85"/>
      <c r="K223" s="85"/>
      <c r="L223" s="85"/>
      <c r="M223" s="85"/>
      <c r="N223" s="85"/>
      <c r="O223" s="85"/>
      <c r="P223" s="85"/>
      <c r="Q223" s="85"/>
      <c r="R223" s="85"/>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row>
    <row r="224" spans="1:108" ht="21" customHeight="1">
      <c r="D224" s="16"/>
      <c r="E224" s="16"/>
      <c r="F224" s="9"/>
      <c r="G224" s="9"/>
      <c r="H224" s="9"/>
      <c r="K224" s="46"/>
      <c r="L224" s="47"/>
      <c r="M224" s="48"/>
      <c r="N224" s="49"/>
      <c r="O224" s="42"/>
      <c r="P224" s="42"/>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row>
    <row r="225" spans="1:108" ht="21" customHeight="1">
      <c r="D225" s="16"/>
      <c r="E225" s="16"/>
      <c r="F225" s="9"/>
      <c r="G225" s="9"/>
      <c r="H225" s="9"/>
      <c r="K225" s="46"/>
      <c r="L225" s="47"/>
      <c r="M225" s="48"/>
      <c r="N225" s="49"/>
      <c r="O225" s="42"/>
      <c r="P225" s="42"/>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row>
    <row r="226" spans="1:108" ht="21" customHeight="1">
      <c r="D226" s="16"/>
      <c r="E226" s="16"/>
      <c r="F226" s="9"/>
      <c r="G226" s="9"/>
      <c r="H226" s="9"/>
      <c r="K226" s="46"/>
      <c r="L226" s="47"/>
      <c r="M226" s="48"/>
      <c r="N226" s="49"/>
      <c r="O226" s="42"/>
      <c r="P226" s="42"/>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row>
    <row r="227" spans="1:108" ht="21" customHeight="1">
      <c r="D227" s="16"/>
      <c r="E227" s="16"/>
      <c r="F227" s="9"/>
      <c r="G227" s="9"/>
      <c r="H227" s="9"/>
      <c r="K227" s="46"/>
      <c r="L227" s="47"/>
      <c r="M227" s="48"/>
      <c r="N227" s="49"/>
      <c r="O227" s="42"/>
      <c r="P227" s="42"/>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row>
    <row r="228" spans="1:108" ht="21" customHeight="1">
      <c r="D228" s="16"/>
      <c r="E228" s="16"/>
      <c r="F228" s="9"/>
      <c r="G228" s="9"/>
      <c r="H228" s="9"/>
      <c r="K228" s="46"/>
      <c r="L228" s="47"/>
      <c r="M228" s="48"/>
      <c r="N228" s="49"/>
      <c r="O228" s="42"/>
      <c r="P228" s="42"/>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row>
    <row r="229" spans="1:108" ht="21" customHeight="1">
      <c r="D229" s="16"/>
      <c r="E229" s="16"/>
      <c r="F229" s="9"/>
      <c r="G229" s="9"/>
      <c r="H229" s="9"/>
      <c r="K229" s="46"/>
      <c r="L229" s="47"/>
      <c r="M229" s="48"/>
      <c r="N229" s="49"/>
      <c r="O229" s="42"/>
      <c r="P229" s="42"/>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row>
    <row r="230" spans="1:108" ht="21" customHeight="1">
      <c r="D230" s="16"/>
      <c r="E230" s="16"/>
      <c r="F230" s="9"/>
      <c r="G230" s="9"/>
      <c r="H230" s="9"/>
      <c r="K230" s="46"/>
      <c r="L230" s="47"/>
      <c r="M230" s="48"/>
      <c r="N230" s="49"/>
      <c r="O230" s="42"/>
      <c r="P230" s="42"/>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row>
    <row r="231" spans="1:108" ht="21" customHeight="1">
      <c r="D231" s="16"/>
      <c r="E231" s="16"/>
      <c r="F231" s="9"/>
      <c r="G231" s="9"/>
      <c r="H231" s="9"/>
      <c r="K231" s="46"/>
      <c r="L231" s="47"/>
      <c r="M231" s="48"/>
      <c r="N231" s="49"/>
      <c r="O231" s="42"/>
      <c r="P231" s="42"/>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row>
    <row r="232" spans="1:108" ht="21" customHeight="1">
      <c r="D232" s="16"/>
      <c r="E232" s="16"/>
      <c r="F232" s="9"/>
      <c r="G232" s="9"/>
      <c r="H232" s="9"/>
      <c r="K232" s="46"/>
      <c r="L232" s="47"/>
      <c r="M232" s="48"/>
      <c r="N232" s="49"/>
      <c r="O232" s="42"/>
      <c r="P232" s="42"/>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row>
    <row r="233" spans="1:108" ht="21" customHeight="1">
      <c r="D233" s="16"/>
      <c r="E233" s="16"/>
      <c r="F233" s="9"/>
      <c r="G233" s="9"/>
      <c r="H233" s="9"/>
      <c r="K233" s="46"/>
      <c r="L233" s="47"/>
      <c r="M233" s="48"/>
      <c r="N233" s="49"/>
      <c r="O233" s="42"/>
      <c r="P233" s="42"/>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row>
    <row r="234" spans="1:108" ht="21" customHeight="1">
      <c r="A234" s="3"/>
      <c r="B234" s="3"/>
      <c r="C234" s="3"/>
      <c r="D234" s="16"/>
      <c r="E234" s="16"/>
      <c r="F234" s="9"/>
      <c r="G234" s="9"/>
      <c r="H234" s="9"/>
      <c r="K234" s="46"/>
      <c r="L234" s="47"/>
      <c r="M234" s="48"/>
      <c r="N234" s="49"/>
      <c r="O234" s="42"/>
      <c r="P234" s="42"/>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row>
    <row r="235" spans="1:108" ht="21" customHeight="1">
      <c r="A235" s="3"/>
      <c r="B235" s="3"/>
      <c r="C235" s="3"/>
      <c r="D235" s="16"/>
      <c r="E235" s="16"/>
      <c r="F235" s="9"/>
      <c r="G235" s="9"/>
      <c r="H235" s="9"/>
      <c r="K235" s="46"/>
      <c r="L235" s="47"/>
      <c r="M235" s="48"/>
      <c r="N235" s="49"/>
      <c r="O235" s="42"/>
      <c r="P235" s="42"/>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row>
    <row r="236" spans="1:108" ht="21" customHeight="1">
      <c r="A236" s="3"/>
      <c r="B236" s="3"/>
      <c r="C236" s="3"/>
      <c r="D236" s="16"/>
      <c r="E236" s="16"/>
      <c r="F236" s="9"/>
      <c r="G236" s="9"/>
      <c r="H236" s="9"/>
      <c r="K236" s="46"/>
      <c r="L236" s="47"/>
      <c r="M236" s="48"/>
      <c r="N236" s="49"/>
      <c r="O236" s="42"/>
      <c r="P236" s="42"/>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row>
    <row r="237" spans="1:108" ht="21" customHeight="1">
      <c r="A237" s="3"/>
      <c r="B237" s="3"/>
      <c r="C237" s="3"/>
      <c r="D237" s="16"/>
      <c r="E237" s="16"/>
      <c r="F237" s="9"/>
      <c r="G237" s="9"/>
      <c r="H237" s="9"/>
      <c r="K237" s="46"/>
      <c r="L237" s="47"/>
      <c r="M237" s="48"/>
      <c r="N237" s="49"/>
      <c r="O237" s="42"/>
      <c r="P237" s="42"/>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row>
    <row r="238" spans="1:108" ht="21" customHeight="1">
      <c r="A238" s="3"/>
      <c r="B238" s="3"/>
      <c r="C238" s="3"/>
      <c r="D238" s="16"/>
      <c r="E238" s="16"/>
      <c r="F238" s="9"/>
      <c r="G238" s="9"/>
      <c r="H238" s="9"/>
      <c r="K238" s="46"/>
      <c r="L238" s="47"/>
      <c r="M238" s="48"/>
      <c r="N238" s="49"/>
      <c r="O238" s="42"/>
      <c r="P238" s="42"/>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row>
    <row r="239" spans="1:108" ht="21" customHeight="1">
      <c r="A239" s="3"/>
      <c r="B239" s="3"/>
      <c r="C239" s="3"/>
      <c r="D239" s="16"/>
      <c r="E239" s="16"/>
      <c r="F239" s="9"/>
      <c r="G239" s="9"/>
      <c r="H239" s="9"/>
      <c r="K239" s="46"/>
      <c r="L239" s="47"/>
      <c r="M239" s="48"/>
      <c r="N239" s="49"/>
      <c r="O239" s="42"/>
      <c r="P239" s="42"/>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row>
    <row r="240" spans="1:108" ht="21" customHeight="1">
      <c r="A240" s="3"/>
      <c r="B240" s="3"/>
      <c r="C240" s="3"/>
      <c r="D240" s="16"/>
      <c r="E240" s="16"/>
      <c r="F240" s="9"/>
      <c r="G240" s="9"/>
      <c r="H240" s="9"/>
      <c r="K240" s="46"/>
      <c r="L240" s="47"/>
      <c r="M240" s="48"/>
      <c r="N240" s="49"/>
      <c r="O240" s="42"/>
      <c r="P240" s="42"/>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row>
    <row r="241" spans="4:16" s="3" customFormat="1" ht="21" customHeight="1">
      <c r="D241" s="16"/>
      <c r="E241" s="16"/>
      <c r="F241" s="9"/>
      <c r="G241" s="9"/>
      <c r="H241" s="9"/>
      <c r="I241" s="2"/>
      <c r="J241" s="2"/>
      <c r="K241" s="46"/>
      <c r="L241" s="47"/>
      <c r="M241" s="48"/>
      <c r="N241" s="49"/>
      <c r="O241" s="42"/>
      <c r="P241" s="42"/>
    </row>
    <row r="242" spans="4:16" s="3" customFormat="1" ht="21" customHeight="1">
      <c r="D242" s="16"/>
      <c r="E242" s="16"/>
      <c r="F242" s="9"/>
      <c r="G242" s="9"/>
      <c r="H242" s="9"/>
      <c r="I242" s="2"/>
      <c r="J242" s="2"/>
      <c r="K242" s="46"/>
      <c r="L242" s="47"/>
      <c r="M242" s="48"/>
      <c r="N242" s="49"/>
      <c r="O242" s="42"/>
      <c r="P242" s="42"/>
    </row>
    <row r="243" spans="4:16" s="3" customFormat="1" ht="21" customHeight="1">
      <c r="D243" s="16"/>
      <c r="E243" s="16"/>
      <c r="F243" s="9"/>
      <c r="G243" s="9"/>
      <c r="H243" s="9"/>
      <c r="I243" s="2"/>
      <c r="J243" s="2"/>
      <c r="K243" s="46"/>
      <c r="L243" s="47"/>
      <c r="M243" s="48"/>
      <c r="N243" s="49"/>
      <c r="O243" s="42"/>
      <c r="P243" s="42"/>
    </row>
    <row r="244" spans="4:16" s="3" customFormat="1" ht="21" customHeight="1">
      <c r="D244" s="16"/>
      <c r="E244" s="16"/>
      <c r="F244" s="9"/>
      <c r="G244" s="9"/>
      <c r="H244" s="9"/>
      <c r="I244" s="2"/>
      <c r="J244" s="2"/>
      <c r="K244" s="46"/>
      <c r="L244" s="47"/>
      <c r="M244" s="48"/>
      <c r="N244" s="49"/>
      <c r="O244" s="42"/>
      <c r="P244" s="42"/>
    </row>
    <row r="245" spans="4:16" s="3" customFormat="1" ht="21" customHeight="1">
      <c r="D245" s="16"/>
      <c r="E245" s="16"/>
      <c r="F245" s="9"/>
      <c r="G245" s="9"/>
      <c r="H245" s="9"/>
      <c r="I245" s="2"/>
      <c r="J245" s="2"/>
      <c r="K245" s="46"/>
      <c r="L245" s="47"/>
      <c r="M245" s="48"/>
      <c r="N245" s="49"/>
      <c r="O245" s="42"/>
      <c r="P245" s="42"/>
    </row>
    <row r="246" spans="4:16" s="3" customFormat="1" ht="21" customHeight="1">
      <c r="D246" s="16"/>
      <c r="E246" s="16"/>
      <c r="F246" s="9"/>
      <c r="G246" s="9"/>
      <c r="H246" s="9"/>
      <c r="I246" s="2"/>
      <c r="J246" s="2"/>
      <c r="K246" s="46"/>
      <c r="L246" s="47"/>
      <c r="M246" s="42"/>
      <c r="N246" s="49"/>
      <c r="O246" s="42"/>
      <c r="P246" s="42"/>
    </row>
    <row r="247" spans="4:16" s="3" customFormat="1" ht="21" customHeight="1">
      <c r="D247" s="16"/>
      <c r="E247" s="16"/>
      <c r="F247" s="9"/>
      <c r="G247" s="9"/>
      <c r="H247" s="9"/>
      <c r="I247" s="2"/>
      <c r="J247" s="2"/>
      <c r="K247" s="46"/>
      <c r="L247" s="47"/>
      <c r="M247" s="42"/>
      <c r="N247" s="49"/>
      <c r="O247" s="42"/>
      <c r="P247" s="42"/>
    </row>
    <row r="248" spans="4:16" s="3" customFormat="1" ht="21" customHeight="1">
      <c r="D248" s="16"/>
      <c r="E248" s="16"/>
      <c r="F248" s="9"/>
      <c r="G248" s="9"/>
      <c r="H248" s="9"/>
      <c r="I248" s="2"/>
      <c r="J248" s="2"/>
      <c r="K248" s="46"/>
      <c r="L248" s="47"/>
      <c r="M248" s="42"/>
      <c r="N248" s="49"/>
      <c r="O248" s="42"/>
      <c r="P248" s="42"/>
    </row>
    <row r="249" spans="4:16" s="3" customFormat="1" ht="21" customHeight="1">
      <c r="D249" s="16"/>
      <c r="E249" s="16"/>
      <c r="F249" s="9"/>
      <c r="G249" s="9"/>
      <c r="H249" s="9"/>
      <c r="I249" s="2"/>
      <c r="J249" s="2"/>
      <c r="K249" s="46"/>
      <c r="L249" s="47"/>
      <c r="M249" s="42"/>
      <c r="N249" s="49"/>
      <c r="O249" s="42"/>
      <c r="P249" s="42"/>
    </row>
    <row r="250" spans="4:16" s="3" customFormat="1" ht="21" customHeight="1">
      <c r="D250" s="16"/>
      <c r="E250" s="16"/>
      <c r="F250" s="9"/>
      <c r="G250" s="9"/>
      <c r="H250" s="9"/>
      <c r="I250" s="2"/>
      <c r="J250" s="2"/>
      <c r="K250" s="46"/>
      <c r="L250" s="47"/>
      <c r="M250" s="42"/>
      <c r="N250" s="49"/>
      <c r="O250" s="42"/>
      <c r="P250" s="42"/>
    </row>
    <row r="251" spans="4:16" s="3" customFormat="1" ht="21" customHeight="1">
      <c r="D251" s="16"/>
      <c r="E251" s="16"/>
      <c r="F251" s="9"/>
      <c r="G251" s="9"/>
      <c r="H251" s="9"/>
      <c r="I251" s="2"/>
      <c r="J251" s="2"/>
      <c r="K251" s="46"/>
      <c r="L251" s="47"/>
      <c r="M251" s="42"/>
      <c r="N251" s="49"/>
      <c r="O251" s="42"/>
      <c r="P251" s="42"/>
    </row>
    <row r="252" spans="4:16" s="3" customFormat="1" ht="21" customHeight="1">
      <c r="D252" s="16"/>
      <c r="E252" s="16"/>
      <c r="F252" s="9"/>
      <c r="G252" s="9"/>
      <c r="H252" s="9"/>
      <c r="I252" s="2"/>
      <c r="J252" s="2"/>
      <c r="K252" s="46"/>
      <c r="L252" s="47"/>
      <c r="M252" s="42"/>
      <c r="N252" s="49"/>
      <c r="O252" s="42"/>
      <c r="P252" s="42"/>
    </row>
    <row r="253" spans="4:16" s="3" customFormat="1" ht="21" customHeight="1">
      <c r="D253" s="16"/>
      <c r="E253" s="16"/>
      <c r="F253" s="9"/>
      <c r="G253" s="9"/>
      <c r="H253" s="9"/>
      <c r="I253" s="2"/>
      <c r="J253" s="2"/>
      <c r="K253" s="46"/>
      <c r="L253" s="47"/>
      <c r="M253" s="42"/>
      <c r="N253" s="49"/>
      <c r="O253" s="42"/>
      <c r="P253" s="42"/>
    </row>
    <row r="254" spans="4:16" s="3" customFormat="1" ht="21" customHeight="1">
      <c r="D254" s="16"/>
      <c r="E254" s="16"/>
      <c r="F254" s="9"/>
      <c r="G254" s="9"/>
      <c r="H254" s="9"/>
      <c r="I254" s="2"/>
      <c r="J254" s="2"/>
      <c r="K254" s="46"/>
      <c r="L254" s="47"/>
      <c r="M254" s="42"/>
      <c r="N254" s="49"/>
      <c r="O254" s="42"/>
      <c r="P254" s="42"/>
    </row>
    <row r="255" spans="4:16" s="3" customFormat="1" ht="21" customHeight="1">
      <c r="D255" s="16"/>
      <c r="E255" s="16"/>
      <c r="F255" s="9"/>
      <c r="G255" s="9"/>
      <c r="H255" s="9"/>
      <c r="I255" s="2"/>
      <c r="J255" s="2"/>
      <c r="K255" s="46"/>
      <c r="L255" s="47"/>
      <c r="M255" s="42"/>
      <c r="N255" s="49"/>
      <c r="O255" s="42"/>
      <c r="P255" s="42"/>
    </row>
    <row r="256" spans="4:16" s="3" customFormat="1" ht="21" customHeight="1">
      <c r="D256" s="16"/>
      <c r="E256" s="16"/>
      <c r="F256" s="9"/>
      <c r="G256" s="9"/>
      <c r="H256" s="9"/>
      <c r="I256" s="2"/>
      <c r="J256" s="2"/>
      <c r="K256" s="46"/>
      <c r="L256" s="47"/>
      <c r="M256" s="42"/>
      <c r="N256" s="49"/>
      <c r="O256" s="42"/>
      <c r="P256" s="42"/>
    </row>
    <row r="257" spans="4:16" s="3" customFormat="1" ht="21" customHeight="1">
      <c r="D257" s="16"/>
      <c r="E257" s="16"/>
      <c r="F257" s="9"/>
      <c r="G257" s="9"/>
      <c r="H257" s="9"/>
      <c r="I257" s="2"/>
      <c r="J257" s="2"/>
      <c r="K257" s="46"/>
      <c r="L257" s="47"/>
      <c r="M257" s="42"/>
      <c r="N257" s="49"/>
      <c r="O257" s="42"/>
      <c r="P257" s="42"/>
    </row>
    <row r="258" spans="4:16" s="3" customFormat="1" ht="21" customHeight="1">
      <c r="D258" s="16"/>
      <c r="E258" s="16"/>
      <c r="F258" s="9"/>
      <c r="G258" s="9"/>
      <c r="H258" s="9"/>
      <c r="I258" s="2"/>
      <c r="J258" s="2"/>
      <c r="K258" s="46"/>
      <c r="L258" s="47"/>
      <c r="M258" s="42"/>
      <c r="N258" s="49"/>
      <c r="O258" s="42"/>
      <c r="P258" s="42"/>
    </row>
    <row r="259" spans="4:16" s="3" customFormat="1" ht="21" customHeight="1">
      <c r="D259" s="16"/>
      <c r="E259" s="16"/>
      <c r="F259" s="9"/>
      <c r="G259" s="9"/>
      <c r="H259" s="9"/>
      <c r="I259" s="2"/>
      <c r="J259" s="2"/>
      <c r="K259" s="46"/>
      <c r="L259" s="47"/>
      <c r="M259" s="42"/>
      <c r="N259" s="49"/>
      <c r="O259" s="42"/>
      <c r="P259" s="42"/>
    </row>
    <row r="260" spans="4:16" s="3" customFormat="1" ht="21" customHeight="1">
      <c r="D260" s="16"/>
      <c r="E260" s="16"/>
      <c r="F260" s="9"/>
      <c r="G260" s="9"/>
      <c r="H260" s="9"/>
      <c r="I260" s="2"/>
      <c r="J260" s="2"/>
      <c r="K260" s="46"/>
      <c r="L260" s="47"/>
      <c r="M260" s="42"/>
      <c r="N260" s="49"/>
      <c r="O260" s="42"/>
      <c r="P260" s="42"/>
    </row>
    <row r="261" spans="4:16" s="3" customFormat="1" ht="21" customHeight="1">
      <c r="D261" s="16"/>
      <c r="E261" s="16"/>
      <c r="F261" s="9"/>
      <c r="G261" s="9"/>
      <c r="H261" s="9"/>
      <c r="I261" s="2"/>
      <c r="J261" s="2"/>
      <c r="K261" s="46"/>
      <c r="L261" s="47"/>
      <c r="M261" s="42"/>
      <c r="N261" s="49"/>
      <c r="O261" s="42"/>
      <c r="P261" s="42"/>
    </row>
    <row r="262" spans="4:16" s="3" customFormat="1" ht="21" customHeight="1">
      <c r="D262" s="16"/>
      <c r="E262" s="16"/>
      <c r="F262" s="9"/>
      <c r="G262" s="9"/>
      <c r="H262" s="9"/>
      <c r="I262" s="2"/>
      <c r="J262" s="2"/>
      <c r="K262" s="46"/>
      <c r="L262" s="47"/>
      <c r="M262" s="42"/>
      <c r="N262" s="49"/>
      <c r="O262" s="42"/>
      <c r="P262" s="42"/>
    </row>
    <row r="263" spans="4:16" s="3" customFormat="1" ht="21" customHeight="1">
      <c r="D263" s="16"/>
      <c r="E263" s="16"/>
      <c r="F263" s="9"/>
      <c r="G263" s="9"/>
      <c r="H263" s="9"/>
      <c r="I263" s="2"/>
      <c r="J263" s="2"/>
      <c r="K263" s="46"/>
      <c r="L263" s="47"/>
      <c r="M263" s="42"/>
      <c r="N263" s="49"/>
      <c r="O263" s="42"/>
      <c r="P263" s="42"/>
    </row>
    <row r="264" spans="4:16" s="3" customFormat="1" ht="21" customHeight="1">
      <c r="D264" s="16"/>
      <c r="E264" s="16"/>
      <c r="F264" s="9"/>
      <c r="G264" s="9"/>
      <c r="H264" s="9"/>
      <c r="I264" s="2"/>
      <c r="J264" s="2"/>
      <c r="K264" s="46"/>
      <c r="L264" s="47"/>
      <c r="M264" s="42"/>
      <c r="N264" s="49"/>
      <c r="O264" s="42"/>
      <c r="P264" s="42"/>
    </row>
    <row r="265" spans="4:16" s="3" customFormat="1" ht="21" customHeight="1">
      <c r="D265" s="16"/>
      <c r="E265" s="16"/>
      <c r="F265" s="9"/>
      <c r="G265" s="9"/>
      <c r="H265" s="9"/>
      <c r="I265" s="2"/>
      <c r="J265" s="2"/>
      <c r="K265" s="46"/>
      <c r="L265" s="47"/>
      <c r="M265" s="42"/>
      <c r="N265" s="49"/>
      <c r="O265" s="42"/>
      <c r="P265" s="42"/>
    </row>
    <row r="266" spans="4:16" s="3" customFormat="1" ht="21" customHeight="1">
      <c r="D266" s="16"/>
      <c r="E266" s="16"/>
      <c r="F266" s="9"/>
      <c r="G266" s="9"/>
      <c r="H266" s="9"/>
      <c r="I266" s="2"/>
      <c r="J266" s="2"/>
      <c r="K266" s="46"/>
      <c r="L266" s="47"/>
      <c r="M266" s="42"/>
      <c r="N266" s="49"/>
      <c r="O266" s="42"/>
      <c r="P266" s="42"/>
    </row>
    <row r="267" spans="4:16" s="3" customFormat="1" ht="21" customHeight="1">
      <c r="D267" s="16"/>
      <c r="E267" s="16"/>
      <c r="F267" s="9"/>
      <c r="G267" s="9"/>
      <c r="H267" s="9"/>
      <c r="I267" s="2"/>
      <c r="J267" s="2"/>
      <c r="K267" s="46"/>
      <c r="L267" s="47"/>
      <c r="M267" s="42"/>
      <c r="N267" s="49"/>
      <c r="O267" s="42"/>
      <c r="P267" s="42"/>
    </row>
    <row r="268" spans="4:16" s="3" customFormat="1" ht="21" customHeight="1">
      <c r="D268" s="16"/>
      <c r="E268" s="16"/>
      <c r="F268" s="9"/>
      <c r="G268" s="9"/>
      <c r="H268" s="9"/>
      <c r="I268" s="2"/>
      <c r="J268" s="2"/>
      <c r="K268" s="46"/>
      <c r="L268" s="47"/>
      <c r="M268" s="42"/>
      <c r="N268" s="49"/>
      <c r="O268" s="42"/>
      <c r="P268" s="42"/>
    </row>
    <row r="269" spans="4:16" s="3" customFormat="1" ht="21" customHeight="1">
      <c r="D269" s="16"/>
      <c r="E269" s="16"/>
      <c r="F269" s="9"/>
      <c r="G269" s="9"/>
      <c r="H269" s="9"/>
      <c r="I269" s="2"/>
      <c r="J269" s="2"/>
      <c r="K269" s="46"/>
      <c r="L269" s="47"/>
      <c r="M269" s="42"/>
      <c r="N269" s="49"/>
      <c r="O269" s="42"/>
      <c r="P269" s="42"/>
    </row>
    <row r="270" spans="4:16" s="3" customFormat="1" ht="21" customHeight="1">
      <c r="D270" s="16"/>
      <c r="E270" s="16"/>
      <c r="F270" s="9"/>
      <c r="G270" s="9"/>
      <c r="H270" s="9"/>
      <c r="I270" s="2"/>
      <c r="J270" s="2"/>
      <c r="K270" s="46"/>
      <c r="L270" s="47"/>
      <c r="M270" s="42"/>
      <c r="N270" s="49"/>
      <c r="O270" s="42"/>
      <c r="P270" s="42"/>
    </row>
    <row r="271" spans="4:16" s="3" customFormat="1" ht="21" customHeight="1">
      <c r="D271" s="16"/>
      <c r="E271" s="16"/>
      <c r="F271" s="9"/>
      <c r="G271" s="9"/>
      <c r="H271" s="9"/>
      <c r="I271" s="2"/>
      <c r="J271" s="2"/>
      <c r="K271" s="46"/>
      <c r="L271" s="47"/>
      <c r="M271" s="42"/>
      <c r="N271" s="49"/>
      <c r="O271" s="42"/>
      <c r="P271" s="42"/>
    </row>
    <row r="272" spans="4:16" s="3" customFormat="1" ht="21" customHeight="1">
      <c r="D272" s="16"/>
      <c r="E272" s="16"/>
      <c r="F272" s="9"/>
      <c r="G272" s="9"/>
      <c r="H272" s="9"/>
      <c r="I272" s="2"/>
      <c r="J272" s="2"/>
      <c r="K272" s="46"/>
      <c r="L272" s="42"/>
      <c r="M272" s="42"/>
      <c r="N272" s="50"/>
      <c r="O272" s="42"/>
      <c r="P272" s="42"/>
    </row>
    <row r="273" spans="4:16" s="3" customFormat="1" ht="21" customHeight="1">
      <c r="D273" s="16"/>
      <c r="E273" s="16"/>
      <c r="F273" s="9"/>
      <c r="G273" s="9"/>
      <c r="H273" s="9"/>
      <c r="I273" s="2"/>
      <c r="J273" s="2"/>
      <c r="K273" s="46"/>
      <c r="L273" s="42"/>
      <c r="M273" s="42"/>
      <c r="N273" s="50"/>
      <c r="O273" s="42"/>
      <c r="P273" s="42"/>
    </row>
    <row r="274" spans="4:16" s="3" customFormat="1" ht="21" customHeight="1">
      <c r="D274" s="16"/>
      <c r="E274" s="16"/>
      <c r="F274" s="9"/>
      <c r="G274" s="9"/>
      <c r="H274" s="9"/>
      <c r="I274" s="2"/>
      <c r="J274" s="2"/>
      <c r="K274" s="46"/>
      <c r="L274" s="42"/>
      <c r="M274" s="42"/>
      <c r="N274" s="50"/>
      <c r="O274" s="42"/>
      <c r="P274" s="42"/>
    </row>
    <row r="275" spans="4:16" s="3" customFormat="1" ht="21" customHeight="1">
      <c r="D275" s="16"/>
      <c r="E275" s="16"/>
      <c r="F275" s="9"/>
      <c r="G275" s="9"/>
      <c r="H275" s="9"/>
      <c r="I275" s="2"/>
      <c r="J275" s="2"/>
      <c r="K275" s="46"/>
      <c r="L275" s="42"/>
      <c r="M275" s="42"/>
      <c r="N275" s="50"/>
      <c r="O275" s="42"/>
      <c r="P275" s="42"/>
    </row>
    <row r="276" spans="4:16" s="3" customFormat="1" ht="21" customHeight="1">
      <c r="D276" s="16"/>
      <c r="E276" s="16"/>
      <c r="F276" s="9"/>
      <c r="G276" s="9"/>
      <c r="H276" s="9"/>
      <c r="I276" s="2"/>
      <c r="J276" s="2"/>
      <c r="K276" s="46"/>
      <c r="L276" s="42"/>
      <c r="M276" s="42"/>
      <c r="N276" s="50"/>
      <c r="O276" s="42"/>
      <c r="P276" s="42"/>
    </row>
    <row r="277" spans="4:16" s="3" customFormat="1" ht="21" customHeight="1">
      <c r="D277" s="16"/>
      <c r="E277" s="16"/>
      <c r="F277" s="9"/>
      <c r="G277" s="9"/>
      <c r="H277" s="9"/>
      <c r="I277" s="2"/>
      <c r="J277" s="2"/>
      <c r="K277" s="46"/>
      <c r="L277" s="42"/>
      <c r="M277" s="42"/>
      <c r="N277" s="50"/>
      <c r="O277" s="42"/>
      <c r="P277" s="42"/>
    </row>
    <row r="278" spans="4:16" s="3" customFormat="1" ht="21" customHeight="1">
      <c r="D278" s="16"/>
      <c r="E278" s="16"/>
      <c r="F278" s="9"/>
      <c r="G278" s="9"/>
      <c r="H278" s="9"/>
      <c r="I278" s="2"/>
      <c r="J278" s="2"/>
      <c r="K278" s="46"/>
      <c r="L278" s="42"/>
      <c r="M278" s="42"/>
      <c r="N278" s="50"/>
      <c r="O278" s="42"/>
      <c r="P278" s="42"/>
    </row>
    <row r="279" spans="4:16" s="3" customFormat="1" ht="21" customHeight="1">
      <c r="D279" s="16"/>
      <c r="E279" s="16"/>
      <c r="F279" s="9"/>
      <c r="G279" s="9"/>
      <c r="H279" s="9"/>
      <c r="I279" s="2"/>
      <c r="J279" s="2"/>
      <c r="K279" s="46"/>
      <c r="L279" s="42"/>
      <c r="M279" s="42"/>
      <c r="N279" s="50"/>
      <c r="O279" s="42"/>
      <c r="P279" s="42"/>
    </row>
    <row r="280" spans="4:16" s="3" customFormat="1" ht="21" customHeight="1">
      <c r="D280" s="16"/>
      <c r="E280" s="16"/>
      <c r="F280" s="9"/>
      <c r="G280" s="9"/>
      <c r="H280" s="9"/>
      <c r="I280" s="2"/>
      <c r="J280" s="2"/>
      <c r="K280" s="46"/>
      <c r="L280" s="42"/>
      <c r="M280" s="42"/>
      <c r="N280" s="50"/>
      <c r="O280" s="42"/>
      <c r="P280" s="42"/>
    </row>
    <row r="281" spans="4:16" s="3" customFormat="1" ht="21" customHeight="1">
      <c r="D281" s="16"/>
      <c r="E281" s="16"/>
      <c r="F281" s="9"/>
      <c r="G281" s="9"/>
      <c r="H281" s="9"/>
      <c r="I281" s="2"/>
      <c r="J281" s="2"/>
      <c r="K281" s="46"/>
      <c r="L281" s="42"/>
      <c r="M281" s="42"/>
      <c r="N281" s="50"/>
      <c r="O281" s="42"/>
      <c r="P281" s="42"/>
    </row>
    <row r="282" spans="4:16" s="3" customFormat="1" ht="21" customHeight="1">
      <c r="D282" s="16"/>
      <c r="E282" s="16"/>
      <c r="F282" s="9"/>
      <c r="G282" s="9"/>
      <c r="H282" s="9"/>
      <c r="I282" s="2"/>
      <c r="J282" s="2"/>
      <c r="K282" s="46"/>
      <c r="L282" s="42"/>
      <c r="M282" s="42"/>
      <c r="N282" s="50"/>
      <c r="O282" s="42"/>
      <c r="P282" s="42"/>
    </row>
    <row r="283" spans="4:16" s="3" customFormat="1" ht="21" customHeight="1">
      <c r="D283" s="16"/>
      <c r="E283" s="16"/>
      <c r="F283" s="9"/>
      <c r="G283" s="9"/>
      <c r="H283" s="9"/>
      <c r="I283" s="2"/>
      <c r="J283" s="2"/>
      <c r="K283" s="46"/>
      <c r="L283" s="42"/>
      <c r="M283" s="42"/>
      <c r="N283" s="50"/>
      <c r="O283" s="42"/>
      <c r="P283" s="42"/>
    </row>
    <row r="284" spans="4:16" s="3" customFormat="1" ht="21" customHeight="1">
      <c r="D284" s="16"/>
      <c r="E284" s="16"/>
      <c r="F284" s="9"/>
      <c r="G284" s="9"/>
      <c r="H284" s="9"/>
      <c r="I284" s="2"/>
      <c r="J284" s="2"/>
      <c r="K284" s="46"/>
      <c r="L284" s="42"/>
      <c r="M284" s="42"/>
      <c r="N284" s="50"/>
      <c r="O284" s="42"/>
      <c r="P284" s="42"/>
    </row>
    <row r="285" spans="4:16" s="3" customFormat="1" ht="21" customHeight="1">
      <c r="D285" s="16"/>
      <c r="E285" s="16"/>
      <c r="F285" s="9"/>
      <c r="G285" s="9"/>
      <c r="H285" s="9"/>
      <c r="I285" s="2"/>
      <c r="J285" s="2"/>
      <c r="K285" s="46"/>
      <c r="L285" s="42"/>
      <c r="M285" s="42"/>
      <c r="N285" s="50"/>
      <c r="O285" s="42"/>
      <c r="P285" s="42"/>
    </row>
    <row r="286" spans="4:16" s="3" customFormat="1" ht="21" customHeight="1">
      <c r="D286" s="16"/>
      <c r="E286" s="16"/>
      <c r="F286" s="9"/>
      <c r="G286" s="9"/>
      <c r="H286" s="9"/>
      <c r="I286" s="2"/>
      <c r="J286" s="2"/>
      <c r="K286" s="46"/>
      <c r="L286" s="42"/>
      <c r="M286" s="42"/>
      <c r="N286" s="50"/>
      <c r="O286" s="42"/>
      <c r="P286" s="42"/>
    </row>
    <row r="287" spans="4:16" s="3" customFormat="1" ht="21" customHeight="1">
      <c r="D287" s="16"/>
      <c r="E287" s="16"/>
      <c r="F287" s="9"/>
      <c r="G287" s="9"/>
      <c r="H287" s="9"/>
      <c r="I287" s="2"/>
      <c r="J287" s="2"/>
      <c r="K287" s="46"/>
      <c r="L287" s="42"/>
      <c r="M287" s="42"/>
      <c r="N287" s="50"/>
      <c r="O287" s="42"/>
      <c r="P287" s="42"/>
    </row>
    <row r="288" spans="4:16" s="3" customFormat="1" ht="21" customHeight="1">
      <c r="D288" s="16"/>
      <c r="E288" s="16"/>
      <c r="F288" s="9"/>
      <c r="G288" s="9"/>
      <c r="H288" s="9"/>
      <c r="I288" s="2"/>
      <c r="J288" s="2"/>
      <c r="K288" s="46"/>
      <c r="L288" s="42"/>
      <c r="M288" s="42"/>
      <c r="N288" s="50"/>
      <c r="O288" s="42"/>
      <c r="P288" s="42"/>
    </row>
    <row r="289" spans="4:16" s="3" customFormat="1" ht="21" customHeight="1">
      <c r="D289" s="16"/>
      <c r="E289" s="16"/>
      <c r="F289" s="9"/>
      <c r="G289" s="9"/>
      <c r="H289" s="9"/>
      <c r="I289" s="2"/>
      <c r="J289" s="2"/>
      <c r="K289" s="46"/>
      <c r="L289" s="42"/>
      <c r="M289" s="42"/>
      <c r="N289" s="50"/>
      <c r="O289" s="42"/>
      <c r="P289" s="42"/>
    </row>
    <row r="290" spans="4:16" s="3" customFormat="1" ht="21" customHeight="1">
      <c r="D290" s="16"/>
      <c r="E290" s="16"/>
      <c r="F290" s="9"/>
      <c r="G290" s="9"/>
      <c r="H290" s="9"/>
      <c r="I290" s="2"/>
      <c r="J290" s="2"/>
      <c r="K290" s="46"/>
      <c r="L290" s="42"/>
      <c r="M290" s="42"/>
      <c r="N290" s="50"/>
      <c r="O290" s="42"/>
      <c r="P290" s="42"/>
    </row>
    <row r="291" spans="4:16" s="3" customFormat="1" ht="21" customHeight="1">
      <c r="D291" s="16"/>
      <c r="E291" s="16"/>
      <c r="F291" s="9"/>
      <c r="G291" s="9"/>
      <c r="H291" s="9"/>
      <c r="I291" s="2"/>
      <c r="J291" s="2"/>
      <c r="K291" s="46"/>
      <c r="L291" s="42"/>
      <c r="M291" s="42"/>
      <c r="N291" s="50"/>
      <c r="O291" s="42"/>
      <c r="P291" s="42"/>
    </row>
    <row r="292" spans="4:16" s="3" customFormat="1" ht="21" customHeight="1">
      <c r="D292" s="16"/>
      <c r="E292" s="16"/>
      <c r="F292" s="9"/>
      <c r="G292" s="9"/>
      <c r="H292" s="9"/>
      <c r="I292" s="2"/>
      <c r="J292" s="2"/>
      <c r="K292" s="46"/>
      <c r="L292" s="42"/>
      <c r="M292" s="42"/>
      <c r="N292" s="50"/>
      <c r="O292" s="42"/>
      <c r="P292" s="42"/>
    </row>
    <row r="293" spans="4:16" s="3" customFormat="1" ht="21" customHeight="1">
      <c r="D293" s="16"/>
      <c r="E293" s="16"/>
      <c r="F293" s="9"/>
      <c r="G293" s="9"/>
      <c r="H293" s="9"/>
      <c r="I293" s="2"/>
      <c r="J293" s="2"/>
      <c r="K293" s="46"/>
      <c r="L293" s="42"/>
      <c r="M293" s="42"/>
      <c r="N293" s="50"/>
      <c r="O293" s="42"/>
      <c r="P293" s="42"/>
    </row>
    <row r="294" spans="4:16" s="3" customFormat="1" ht="21" customHeight="1">
      <c r="D294" s="16"/>
      <c r="E294" s="16"/>
      <c r="F294" s="9"/>
      <c r="G294" s="9"/>
      <c r="H294" s="9"/>
      <c r="I294" s="2"/>
      <c r="J294" s="2"/>
      <c r="K294" s="46"/>
      <c r="L294" s="42"/>
      <c r="M294" s="42"/>
      <c r="N294" s="50"/>
      <c r="O294" s="42"/>
      <c r="P294" s="42"/>
    </row>
    <row r="295" spans="4:16" s="3" customFormat="1" ht="21" customHeight="1">
      <c r="D295" s="16"/>
      <c r="E295" s="16"/>
      <c r="F295" s="9"/>
      <c r="G295" s="9"/>
      <c r="H295" s="9"/>
      <c r="I295" s="2"/>
      <c r="J295" s="2"/>
      <c r="K295" s="46"/>
      <c r="L295" s="42"/>
      <c r="M295" s="42"/>
      <c r="N295" s="50"/>
      <c r="O295" s="42"/>
      <c r="P295" s="42"/>
    </row>
    <row r="296" spans="4:16" s="3" customFormat="1" ht="21" customHeight="1">
      <c r="D296" s="16"/>
      <c r="E296" s="16"/>
      <c r="F296" s="9"/>
      <c r="G296" s="9"/>
      <c r="H296" s="9"/>
      <c r="I296" s="2"/>
      <c r="J296" s="2"/>
      <c r="K296" s="46"/>
      <c r="L296" s="42"/>
      <c r="M296" s="42"/>
      <c r="N296" s="50"/>
      <c r="O296" s="42"/>
      <c r="P296" s="42"/>
    </row>
    <row r="297" spans="4:16" s="3" customFormat="1" ht="21" customHeight="1">
      <c r="D297" s="16"/>
      <c r="E297" s="16"/>
      <c r="F297" s="9"/>
      <c r="G297" s="9"/>
      <c r="H297" s="9"/>
      <c r="I297" s="2"/>
      <c r="J297" s="2"/>
      <c r="K297" s="46"/>
      <c r="L297" s="42"/>
      <c r="M297" s="42"/>
      <c r="N297" s="50"/>
      <c r="O297" s="42"/>
      <c r="P297" s="42"/>
    </row>
    <row r="298" spans="4:16" s="3" customFormat="1" ht="21" customHeight="1">
      <c r="D298" s="16"/>
      <c r="E298" s="16"/>
      <c r="F298" s="9"/>
      <c r="G298" s="9"/>
      <c r="H298" s="9"/>
      <c r="I298" s="2"/>
      <c r="J298" s="2"/>
      <c r="K298" s="46"/>
      <c r="L298" s="42"/>
      <c r="M298" s="42"/>
      <c r="N298" s="50"/>
      <c r="O298" s="42"/>
      <c r="P298" s="42"/>
    </row>
    <row r="299" spans="4:16" s="3" customFormat="1" ht="21" customHeight="1">
      <c r="D299" s="16"/>
      <c r="E299" s="16"/>
      <c r="F299" s="9"/>
      <c r="G299" s="9"/>
      <c r="H299" s="9"/>
      <c r="I299" s="2"/>
      <c r="J299" s="2"/>
      <c r="K299" s="46"/>
      <c r="L299" s="42"/>
      <c r="M299" s="42"/>
      <c r="N299" s="50"/>
      <c r="O299" s="42"/>
      <c r="P299" s="42"/>
    </row>
    <row r="300" spans="4:16" s="3" customFormat="1" ht="21" customHeight="1">
      <c r="D300" s="16"/>
      <c r="E300" s="16"/>
      <c r="F300" s="9"/>
      <c r="G300" s="9"/>
      <c r="H300" s="9"/>
      <c r="I300" s="2"/>
      <c r="J300" s="2"/>
      <c r="K300" s="46"/>
      <c r="L300" s="42"/>
      <c r="M300" s="42"/>
      <c r="N300" s="50"/>
      <c r="O300" s="42"/>
      <c r="P300" s="42"/>
    </row>
    <row r="301" spans="4:16" s="3" customFormat="1" ht="21" customHeight="1">
      <c r="D301" s="16"/>
      <c r="E301" s="16"/>
      <c r="F301" s="9"/>
      <c r="G301" s="9"/>
      <c r="H301" s="9"/>
      <c r="I301" s="2"/>
      <c r="J301" s="2"/>
      <c r="K301" s="46"/>
      <c r="L301" s="42"/>
      <c r="M301" s="42"/>
      <c r="N301" s="50"/>
      <c r="O301" s="42"/>
      <c r="P301" s="42"/>
    </row>
    <row r="302" spans="4:16" s="3" customFormat="1" ht="21" customHeight="1">
      <c r="D302" s="16"/>
      <c r="E302" s="16"/>
      <c r="F302" s="9"/>
      <c r="G302" s="9"/>
      <c r="H302" s="9"/>
      <c r="I302" s="2"/>
      <c r="J302" s="2"/>
      <c r="K302" s="46"/>
      <c r="L302" s="42"/>
      <c r="M302" s="42"/>
      <c r="N302" s="50"/>
      <c r="O302" s="42"/>
      <c r="P302" s="42"/>
    </row>
    <row r="303" spans="4:16" s="3" customFormat="1" ht="21" customHeight="1">
      <c r="D303" s="16"/>
      <c r="E303" s="16"/>
      <c r="F303" s="9"/>
      <c r="G303" s="9"/>
      <c r="H303" s="9"/>
      <c r="I303" s="2"/>
      <c r="J303" s="2"/>
      <c r="K303" s="46"/>
      <c r="L303" s="42"/>
      <c r="M303" s="42"/>
      <c r="N303" s="50"/>
      <c r="O303" s="42"/>
      <c r="P303" s="42"/>
    </row>
    <row r="304" spans="4:16" s="3" customFormat="1" ht="21" customHeight="1">
      <c r="D304" s="16"/>
      <c r="E304" s="16"/>
      <c r="F304" s="9"/>
      <c r="G304" s="9"/>
      <c r="H304" s="9"/>
      <c r="I304" s="2"/>
      <c r="J304" s="2"/>
      <c r="K304" s="46"/>
      <c r="L304" s="42"/>
      <c r="M304" s="42"/>
      <c r="N304" s="50"/>
      <c r="O304" s="42"/>
      <c r="P304" s="42"/>
    </row>
    <row r="305" spans="4:16" s="3" customFormat="1" ht="21" customHeight="1">
      <c r="D305" s="16"/>
      <c r="E305" s="16"/>
      <c r="F305" s="9"/>
      <c r="G305" s="9"/>
      <c r="H305" s="9"/>
      <c r="I305" s="2"/>
      <c r="J305" s="2"/>
      <c r="K305" s="46"/>
      <c r="L305" s="42"/>
      <c r="M305" s="42"/>
      <c r="N305" s="50"/>
      <c r="O305" s="42"/>
      <c r="P305" s="42"/>
    </row>
    <row r="306" spans="4:16" s="3" customFormat="1" ht="21" customHeight="1">
      <c r="D306" s="16"/>
      <c r="E306" s="16"/>
      <c r="F306" s="9"/>
      <c r="G306" s="9"/>
      <c r="H306" s="9"/>
      <c r="I306" s="2"/>
      <c r="J306" s="2"/>
      <c r="K306" s="46"/>
      <c r="L306" s="42"/>
      <c r="M306" s="42"/>
      <c r="N306" s="50"/>
      <c r="O306" s="42"/>
      <c r="P306" s="42"/>
    </row>
    <row r="307" spans="4:16" s="3" customFormat="1" ht="21" customHeight="1">
      <c r="D307" s="16"/>
      <c r="E307" s="16"/>
      <c r="F307" s="9"/>
      <c r="G307" s="9"/>
      <c r="H307" s="9"/>
      <c r="I307" s="2"/>
      <c r="J307" s="2"/>
      <c r="K307" s="46"/>
      <c r="L307" s="42"/>
      <c r="M307" s="42"/>
      <c r="N307" s="50"/>
      <c r="O307" s="42"/>
      <c r="P307" s="42"/>
    </row>
    <row r="308" spans="4:16" s="3" customFormat="1" ht="21" customHeight="1">
      <c r="D308" s="16"/>
      <c r="E308" s="16"/>
      <c r="F308" s="9"/>
      <c r="G308" s="9"/>
      <c r="H308" s="9"/>
      <c r="I308" s="2"/>
      <c r="J308" s="2"/>
      <c r="K308" s="46"/>
      <c r="L308" s="42"/>
      <c r="M308" s="42"/>
      <c r="N308" s="50"/>
      <c r="O308" s="42"/>
      <c r="P308" s="42"/>
    </row>
    <row r="309" spans="4:16" s="3" customFormat="1" ht="21" customHeight="1">
      <c r="D309" s="16"/>
      <c r="E309" s="16"/>
      <c r="F309" s="9"/>
      <c r="G309" s="9"/>
      <c r="H309" s="9"/>
      <c r="I309" s="2"/>
      <c r="J309" s="2"/>
      <c r="K309" s="46"/>
      <c r="L309" s="42"/>
      <c r="M309" s="42"/>
      <c r="N309" s="50"/>
      <c r="O309" s="42"/>
      <c r="P309" s="42"/>
    </row>
    <row r="310" spans="4:16" s="3" customFormat="1" ht="21" customHeight="1">
      <c r="D310" s="16"/>
      <c r="E310" s="16"/>
      <c r="F310" s="9"/>
      <c r="G310" s="9"/>
      <c r="H310" s="9"/>
      <c r="I310" s="2"/>
      <c r="J310" s="2"/>
      <c r="K310" s="46"/>
      <c r="L310" s="42"/>
      <c r="M310" s="42"/>
      <c r="N310" s="50"/>
      <c r="O310" s="42"/>
      <c r="P310" s="42"/>
    </row>
    <row r="311" spans="4:16" s="3" customFormat="1" ht="21" customHeight="1">
      <c r="D311" s="16"/>
      <c r="E311" s="16"/>
      <c r="F311" s="9"/>
      <c r="G311" s="9"/>
      <c r="H311" s="9"/>
      <c r="I311" s="2"/>
      <c r="J311" s="2"/>
      <c r="K311" s="46"/>
      <c r="L311" s="42"/>
      <c r="M311" s="42"/>
      <c r="N311" s="50"/>
      <c r="O311" s="42"/>
      <c r="P311" s="42"/>
    </row>
    <row r="312" spans="4:16" s="3" customFormat="1" ht="21" customHeight="1">
      <c r="D312" s="16"/>
      <c r="E312" s="16"/>
      <c r="F312" s="9"/>
      <c r="G312" s="9"/>
      <c r="H312" s="9"/>
      <c r="I312" s="2"/>
      <c r="J312" s="2"/>
      <c r="K312" s="46"/>
      <c r="L312" s="42"/>
      <c r="M312" s="42"/>
      <c r="N312" s="50"/>
      <c r="O312" s="42"/>
      <c r="P312" s="42"/>
    </row>
    <row r="313" spans="4:16" s="3" customFormat="1" ht="21" customHeight="1">
      <c r="D313" s="16"/>
      <c r="E313" s="16"/>
      <c r="F313" s="9"/>
      <c r="G313" s="9"/>
      <c r="H313" s="9"/>
      <c r="I313" s="2"/>
      <c r="J313" s="2"/>
      <c r="K313" s="46"/>
      <c r="L313" s="42"/>
      <c r="M313" s="42"/>
      <c r="N313" s="50"/>
      <c r="O313" s="42"/>
      <c r="P313" s="42"/>
    </row>
    <row r="314" spans="4:16" s="3" customFormat="1" ht="21" customHeight="1">
      <c r="D314" s="16"/>
      <c r="E314" s="16"/>
      <c r="F314" s="9"/>
      <c r="G314" s="9"/>
      <c r="H314" s="9"/>
      <c r="I314" s="2"/>
      <c r="J314" s="2"/>
      <c r="K314" s="46"/>
      <c r="L314" s="42"/>
      <c r="M314" s="42"/>
      <c r="N314" s="50"/>
      <c r="O314" s="42"/>
      <c r="P314" s="42"/>
    </row>
    <row r="315" spans="4:16" s="3" customFormat="1" ht="21" customHeight="1">
      <c r="D315" s="16"/>
      <c r="E315" s="16"/>
      <c r="F315" s="9"/>
      <c r="G315" s="9"/>
      <c r="H315" s="9"/>
      <c r="I315" s="2"/>
      <c r="J315" s="2"/>
      <c r="K315" s="46"/>
      <c r="L315" s="42"/>
      <c r="M315" s="42"/>
      <c r="N315" s="50"/>
      <c r="O315" s="42"/>
      <c r="P315" s="42"/>
    </row>
    <row r="316" spans="4:16" s="3" customFormat="1" ht="21" customHeight="1">
      <c r="D316" s="16"/>
      <c r="E316" s="16"/>
      <c r="F316" s="9"/>
      <c r="G316" s="9"/>
      <c r="H316" s="9"/>
      <c r="I316" s="2"/>
      <c r="J316" s="2"/>
      <c r="K316" s="46"/>
      <c r="L316" s="42"/>
      <c r="M316" s="42"/>
      <c r="N316" s="50"/>
      <c r="O316" s="42"/>
      <c r="P316" s="42"/>
    </row>
    <row r="317" spans="4:16" s="3" customFormat="1" ht="21" customHeight="1">
      <c r="D317" s="16"/>
      <c r="E317" s="16"/>
      <c r="F317" s="9"/>
      <c r="G317" s="9"/>
      <c r="H317" s="9"/>
      <c r="I317" s="2"/>
      <c r="J317" s="2"/>
      <c r="K317" s="46"/>
      <c r="L317" s="42"/>
      <c r="M317" s="42"/>
      <c r="N317" s="50"/>
      <c r="O317" s="42"/>
      <c r="P317" s="42"/>
    </row>
    <row r="318" spans="4:16" s="3" customFormat="1" ht="21" customHeight="1">
      <c r="D318" s="16"/>
      <c r="E318" s="16"/>
      <c r="F318" s="9"/>
      <c r="G318" s="9"/>
      <c r="H318" s="9"/>
      <c r="I318" s="2"/>
      <c r="J318" s="2"/>
      <c r="K318" s="46"/>
      <c r="L318" s="42"/>
      <c r="M318" s="42"/>
      <c r="N318" s="50"/>
      <c r="O318" s="42"/>
      <c r="P318" s="42"/>
    </row>
    <row r="319" spans="4:16" s="3" customFormat="1" ht="21" customHeight="1">
      <c r="D319" s="16"/>
      <c r="E319" s="16"/>
      <c r="F319" s="9"/>
      <c r="G319" s="9"/>
      <c r="H319" s="9"/>
      <c r="I319" s="2"/>
      <c r="J319" s="2"/>
      <c r="K319" s="46"/>
      <c r="L319" s="42"/>
      <c r="M319" s="42"/>
      <c r="N319" s="50"/>
      <c r="O319" s="42"/>
      <c r="P319" s="42"/>
    </row>
    <row r="320" spans="4:16" s="3" customFormat="1" ht="21" customHeight="1">
      <c r="D320" s="16"/>
      <c r="E320" s="16"/>
      <c r="F320" s="9"/>
      <c r="G320" s="9"/>
      <c r="H320" s="9"/>
      <c r="I320" s="2"/>
      <c r="J320" s="2"/>
      <c r="K320" s="46"/>
      <c r="L320" s="42"/>
      <c r="M320" s="42"/>
      <c r="N320" s="50"/>
      <c r="O320" s="42"/>
      <c r="P320" s="42"/>
    </row>
    <row r="321" spans="4:16" s="3" customFormat="1" ht="21" customHeight="1">
      <c r="D321" s="16"/>
      <c r="E321" s="16"/>
      <c r="F321" s="9"/>
      <c r="G321" s="9"/>
      <c r="H321" s="9"/>
      <c r="I321" s="2"/>
      <c r="J321" s="2"/>
      <c r="K321" s="46"/>
      <c r="L321" s="42"/>
      <c r="M321" s="42"/>
      <c r="N321" s="50"/>
      <c r="O321" s="42"/>
      <c r="P321" s="42"/>
    </row>
    <row r="322" spans="4:16" s="3" customFormat="1" ht="21" customHeight="1">
      <c r="D322" s="16"/>
      <c r="E322" s="16"/>
      <c r="F322" s="9"/>
      <c r="G322" s="9"/>
      <c r="H322" s="9"/>
      <c r="I322" s="2"/>
      <c r="J322" s="2"/>
      <c r="K322" s="46"/>
      <c r="L322" s="42"/>
      <c r="M322" s="42"/>
      <c r="N322" s="50"/>
      <c r="O322" s="42"/>
      <c r="P322" s="42"/>
    </row>
    <row r="323" spans="4:16" s="3" customFormat="1" ht="21" customHeight="1">
      <c r="D323" s="16"/>
      <c r="E323" s="16"/>
      <c r="F323" s="9"/>
      <c r="G323" s="9"/>
      <c r="H323" s="9"/>
      <c r="I323" s="2"/>
      <c r="J323" s="2"/>
      <c r="K323" s="46"/>
      <c r="L323" s="42"/>
      <c r="M323" s="42"/>
      <c r="N323" s="50"/>
      <c r="O323" s="42"/>
      <c r="P323" s="42"/>
    </row>
    <row r="324" spans="4:16" s="3" customFormat="1" ht="21" customHeight="1">
      <c r="D324" s="16"/>
      <c r="E324" s="16"/>
      <c r="F324" s="9"/>
      <c r="G324" s="9"/>
      <c r="H324" s="9"/>
      <c r="I324" s="2"/>
      <c r="J324" s="2"/>
      <c r="K324" s="46"/>
      <c r="L324" s="42"/>
      <c r="M324" s="42"/>
      <c r="N324" s="50"/>
      <c r="O324" s="42"/>
      <c r="P324" s="42"/>
    </row>
    <row r="325" spans="4:16" s="3" customFormat="1" ht="21" customHeight="1">
      <c r="D325" s="16"/>
      <c r="E325" s="16"/>
      <c r="F325" s="9"/>
      <c r="G325" s="9"/>
      <c r="H325" s="9"/>
      <c r="I325" s="2"/>
      <c r="J325" s="2"/>
      <c r="K325" s="46"/>
      <c r="L325" s="42"/>
      <c r="M325" s="42"/>
      <c r="N325" s="50"/>
      <c r="O325" s="42"/>
      <c r="P325" s="42"/>
    </row>
    <row r="326" spans="4:16" s="3" customFormat="1" ht="21" customHeight="1">
      <c r="D326" s="16"/>
      <c r="E326" s="16"/>
      <c r="F326" s="9"/>
      <c r="G326" s="9"/>
      <c r="H326" s="9"/>
      <c r="I326" s="2"/>
      <c r="J326" s="2"/>
      <c r="K326" s="46"/>
      <c r="L326" s="42"/>
      <c r="M326" s="42"/>
      <c r="N326" s="50"/>
      <c r="O326" s="42"/>
      <c r="P326" s="42"/>
    </row>
    <row r="327" spans="4:16" s="3" customFormat="1" ht="21" customHeight="1">
      <c r="D327" s="16"/>
      <c r="E327" s="16"/>
      <c r="F327" s="9"/>
      <c r="G327" s="9"/>
      <c r="H327" s="9"/>
      <c r="I327" s="2"/>
      <c r="J327" s="2"/>
      <c r="K327" s="46"/>
      <c r="L327" s="42"/>
      <c r="M327" s="42"/>
      <c r="N327" s="50"/>
      <c r="O327" s="42"/>
      <c r="P327" s="42"/>
    </row>
    <row r="328" spans="4:16" s="3" customFormat="1" ht="21" customHeight="1">
      <c r="D328" s="16"/>
      <c r="E328" s="16"/>
      <c r="F328" s="9"/>
      <c r="G328" s="9"/>
      <c r="H328" s="9"/>
      <c r="I328" s="2"/>
      <c r="J328" s="2"/>
      <c r="K328" s="46"/>
      <c r="L328" s="42"/>
      <c r="M328" s="42"/>
      <c r="N328" s="50"/>
      <c r="O328" s="42"/>
      <c r="P328" s="42"/>
    </row>
    <row r="329" spans="4:16" s="3" customFormat="1" ht="21" customHeight="1">
      <c r="D329" s="16"/>
      <c r="E329" s="16"/>
      <c r="F329" s="9"/>
      <c r="G329" s="9"/>
      <c r="H329" s="9"/>
      <c r="I329" s="2"/>
      <c r="J329" s="2"/>
      <c r="K329" s="46"/>
      <c r="L329" s="42"/>
      <c r="M329" s="42"/>
      <c r="N329" s="50"/>
      <c r="O329" s="42"/>
      <c r="P329" s="42"/>
    </row>
    <row r="330" spans="4:16" s="3" customFormat="1" ht="21" customHeight="1">
      <c r="D330" s="16"/>
      <c r="E330" s="16"/>
      <c r="F330" s="9"/>
      <c r="G330" s="9"/>
      <c r="H330" s="9"/>
      <c r="I330" s="2"/>
      <c r="J330" s="2"/>
      <c r="K330" s="46"/>
      <c r="L330" s="42"/>
      <c r="M330" s="42"/>
      <c r="N330" s="50"/>
      <c r="O330" s="42"/>
      <c r="P330" s="42"/>
    </row>
    <row r="331" spans="4:16" s="3" customFormat="1" ht="21" customHeight="1">
      <c r="D331" s="16"/>
      <c r="E331" s="16"/>
      <c r="F331" s="9"/>
      <c r="G331" s="9"/>
      <c r="H331" s="9"/>
      <c r="I331" s="2"/>
      <c r="J331" s="2"/>
      <c r="K331" s="46"/>
      <c r="L331" s="42"/>
      <c r="M331" s="42"/>
      <c r="N331" s="50"/>
      <c r="O331" s="42"/>
      <c r="P331" s="42"/>
    </row>
    <row r="332" spans="4:16" s="3" customFormat="1" ht="21" customHeight="1">
      <c r="D332" s="16"/>
      <c r="E332" s="16"/>
      <c r="F332" s="9"/>
      <c r="G332" s="9"/>
      <c r="H332" s="9"/>
      <c r="I332" s="2"/>
      <c r="J332" s="2"/>
      <c r="K332" s="46"/>
      <c r="L332" s="42"/>
      <c r="M332" s="42"/>
      <c r="N332" s="50"/>
      <c r="O332" s="42"/>
      <c r="P332" s="42"/>
    </row>
    <row r="333" spans="4:16" s="3" customFormat="1" ht="21" customHeight="1">
      <c r="D333" s="16"/>
      <c r="E333" s="16"/>
      <c r="F333" s="9"/>
      <c r="G333" s="9"/>
      <c r="H333" s="9"/>
      <c r="I333" s="2"/>
      <c r="J333" s="2"/>
      <c r="K333" s="46"/>
      <c r="L333" s="42"/>
      <c r="M333" s="42"/>
      <c r="N333" s="50"/>
      <c r="O333" s="42"/>
      <c r="P333" s="42"/>
    </row>
    <row r="334" spans="4:16" s="3" customFormat="1" ht="21" customHeight="1">
      <c r="D334" s="16"/>
      <c r="E334" s="16"/>
      <c r="F334" s="9"/>
      <c r="G334" s="9"/>
      <c r="H334" s="9"/>
      <c r="I334" s="2"/>
      <c r="J334" s="2"/>
      <c r="K334" s="46"/>
      <c r="L334" s="42"/>
      <c r="M334" s="42"/>
      <c r="N334" s="50"/>
      <c r="O334" s="42"/>
      <c r="P334" s="42"/>
    </row>
    <row r="335" spans="4:16" s="3" customFormat="1" ht="21" customHeight="1">
      <c r="D335" s="16"/>
      <c r="E335" s="16"/>
      <c r="F335" s="9"/>
      <c r="G335" s="9"/>
      <c r="H335" s="9"/>
      <c r="I335" s="2"/>
      <c r="J335" s="2"/>
      <c r="K335" s="46"/>
      <c r="L335" s="42"/>
      <c r="M335" s="42"/>
      <c r="N335" s="50"/>
      <c r="O335" s="42"/>
      <c r="P335" s="42"/>
    </row>
    <row r="336" spans="4:16" s="3" customFormat="1" ht="21" customHeight="1">
      <c r="D336" s="16"/>
      <c r="E336" s="16"/>
      <c r="F336" s="9"/>
      <c r="G336" s="9"/>
      <c r="H336" s="9"/>
      <c r="I336" s="2"/>
      <c r="J336" s="2"/>
      <c r="K336" s="46"/>
      <c r="L336" s="42"/>
      <c r="M336" s="42"/>
      <c r="N336" s="50"/>
      <c r="O336" s="42"/>
      <c r="P336" s="42"/>
    </row>
    <row r="337" spans="4:16" s="3" customFormat="1" ht="21" customHeight="1">
      <c r="D337" s="16"/>
      <c r="E337" s="16"/>
      <c r="F337" s="9"/>
      <c r="G337" s="9"/>
      <c r="H337" s="9"/>
      <c r="I337" s="2"/>
      <c r="J337" s="2"/>
      <c r="K337" s="46"/>
      <c r="L337" s="42"/>
      <c r="M337" s="42"/>
      <c r="N337" s="50"/>
      <c r="O337" s="42"/>
      <c r="P337" s="42"/>
    </row>
    <row r="338" spans="4:16" s="3" customFormat="1" ht="21" customHeight="1">
      <c r="D338" s="16"/>
      <c r="E338" s="16"/>
      <c r="F338" s="9"/>
      <c r="G338" s="9"/>
      <c r="H338" s="9"/>
      <c r="I338" s="2"/>
      <c r="J338" s="2"/>
      <c r="K338" s="46"/>
      <c r="L338" s="42"/>
      <c r="M338" s="42"/>
      <c r="N338" s="50"/>
      <c r="O338" s="42"/>
      <c r="P338" s="42"/>
    </row>
    <row r="339" spans="4:16" s="3" customFormat="1" ht="21" customHeight="1">
      <c r="D339" s="16"/>
      <c r="E339" s="16"/>
      <c r="F339" s="9"/>
      <c r="G339" s="9"/>
      <c r="H339" s="9"/>
      <c r="I339" s="2"/>
      <c r="J339" s="2"/>
      <c r="K339" s="46"/>
      <c r="L339" s="42"/>
      <c r="M339" s="42"/>
      <c r="N339" s="50"/>
      <c r="O339" s="42"/>
      <c r="P339" s="42"/>
    </row>
    <row r="340" spans="4:16" s="3" customFormat="1" ht="21" customHeight="1">
      <c r="D340" s="16"/>
      <c r="E340" s="16"/>
      <c r="F340" s="9"/>
      <c r="G340" s="9"/>
      <c r="H340" s="9"/>
      <c r="I340" s="2"/>
      <c r="J340" s="2"/>
      <c r="K340" s="46"/>
      <c r="L340" s="42"/>
      <c r="M340" s="42"/>
      <c r="N340" s="50"/>
      <c r="O340" s="42"/>
      <c r="P340" s="42"/>
    </row>
    <row r="341" spans="4:16" s="3" customFormat="1" ht="21" customHeight="1">
      <c r="D341" s="16"/>
      <c r="E341" s="16"/>
      <c r="F341" s="9"/>
      <c r="G341" s="9"/>
      <c r="H341" s="9"/>
      <c r="I341" s="2"/>
      <c r="J341" s="2"/>
      <c r="K341" s="46"/>
      <c r="L341" s="42"/>
      <c r="M341" s="42"/>
      <c r="N341" s="50"/>
      <c r="O341" s="42"/>
      <c r="P341" s="42"/>
    </row>
    <row r="342" spans="4:16" s="3" customFormat="1" ht="21" customHeight="1">
      <c r="D342" s="16"/>
      <c r="E342" s="16"/>
      <c r="F342" s="9"/>
      <c r="G342" s="9"/>
      <c r="H342" s="9"/>
      <c r="I342" s="2"/>
      <c r="J342" s="2"/>
      <c r="K342" s="46"/>
      <c r="L342" s="42"/>
      <c r="M342" s="42"/>
      <c r="N342" s="50"/>
      <c r="O342" s="42"/>
      <c r="P342" s="42"/>
    </row>
    <row r="343" spans="4:16" s="3" customFormat="1" ht="21" customHeight="1">
      <c r="D343" s="16"/>
      <c r="E343" s="16"/>
      <c r="F343" s="9"/>
      <c r="G343" s="9"/>
      <c r="H343" s="9"/>
      <c r="I343" s="2"/>
      <c r="J343" s="2"/>
      <c r="K343" s="46"/>
      <c r="L343" s="42"/>
      <c r="M343" s="42"/>
      <c r="N343" s="50"/>
      <c r="O343" s="42"/>
      <c r="P343" s="42"/>
    </row>
    <row r="344" spans="4:16" s="3" customFormat="1" ht="21" customHeight="1">
      <c r="D344" s="16"/>
      <c r="E344" s="16"/>
      <c r="F344" s="9"/>
      <c r="G344" s="9"/>
      <c r="H344" s="9"/>
      <c r="I344" s="2"/>
      <c r="J344" s="2"/>
      <c r="K344" s="46"/>
      <c r="L344" s="42"/>
      <c r="M344" s="42"/>
      <c r="N344" s="50"/>
      <c r="O344" s="42"/>
      <c r="P344" s="42"/>
    </row>
    <row r="345" spans="4:16" s="3" customFormat="1" ht="21" customHeight="1">
      <c r="D345" s="16"/>
      <c r="E345" s="16"/>
      <c r="F345" s="9"/>
      <c r="G345" s="9"/>
      <c r="H345" s="9"/>
      <c r="I345" s="2"/>
      <c r="J345" s="2"/>
      <c r="K345" s="46"/>
      <c r="L345" s="42"/>
      <c r="M345" s="42"/>
      <c r="N345" s="50"/>
      <c r="O345" s="42"/>
      <c r="P345" s="42"/>
    </row>
    <row r="346" spans="4:16" s="3" customFormat="1" ht="21" customHeight="1">
      <c r="D346" s="16"/>
      <c r="E346" s="16"/>
      <c r="F346" s="9"/>
      <c r="G346" s="9"/>
      <c r="H346" s="9"/>
      <c r="I346" s="2"/>
      <c r="J346" s="2"/>
      <c r="K346" s="46"/>
      <c r="L346" s="42"/>
      <c r="M346" s="42"/>
      <c r="N346" s="50"/>
      <c r="O346" s="42"/>
      <c r="P346" s="42"/>
    </row>
    <row r="347" spans="4:16" s="3" customFormat="1" ht="21" customHeight="1">
      <c r="D347" s="16"/>
      <c r="E347" s="16"/>
      <c r="F347" s="9"/>
      <c r="G347" s="9"/>
      <c r="H347" s="9"/>
      <c r="I347" s="2"/>
      <c r="J347" s="2"/>
      <c r="K347" s="46"/>
      <c r="L347" s="42"/>
      <c r="M347" s="42"/>
      <c r="N347" s="50"/>
      <c r="O347" s="42"/>
      <c r="P347" s="42"/>
    </row>
    <row r="348" spans="4:16" s="3" customFormat="1" ht="21" customHeight="1">
      <c r="D348" s="16"/>
      <c r="E348" s="16"/>
      <c r="F348" s="9"/>
      <c r="G348" s="9"/>
      <c r="H348" s="9"/>
      <c r="I348" s="2"/>
      <c r="J348" s="2"/>
      <c r="K348" s="46"/>
      <c r="L348" s="42"/>
      <c r="M348" s="42"/>
      <c r="N348" s="50"/>
      <c r="O348" s="42"/>
      <c r="P348" s="42"/>
    </row>
    <row r="349" spans="4:16" s="3" customFormat="1" ht="21" customHeight="1">
      <c r="D349" s="16"/>
      <c r="E349" s="16"/>
      <c r="F349" s="9"/>
      <c r="G349" s="9"/>
      <c r="H349" s="9"/>
      <c r="I349" s="2"/>
      <c r="J349" s="2"/>
      <c r="K349" s="46"/>
      <c r="L349" s="42"/>
      <c r="M349" s="42"/>
      <c r="N349" s="50"/>
      <c r="O349" s="42"/>
      <c r="P349" s="42"/>
    </row>
    <row r="350" spans="4:16" s="3" customFormat="1" ht="21" customHeight="1">
      <c r="D350" s="16"/>
      <c r="E350" s="16"/>
      <c r="F350" s="9"/>
      <c r="G350" s="9"/>
      <c r="H350" s="9"/>
      <c r="I350" s="2"/>
      <c r="J350" s="2"/>
      <c r="K350" s="46"/>
      <c r="L350" s="42"/>
      <c r="M350" s="42"/>
      <c r="N350" s="50"/>
      <c r="O350" s="42"/>
      <c r="P350" s="42"/>
    </row>
    <row r="351" spans="4:16" s="3" customFormat="1" ht="21" customHeight="1">
      <c r="D351" s="16"/>
      <c r="E351" s="16"/>
      <c r="F351" s="9"/>
      <c r="G351" s="9"/>
      <c r="H351" s="9"/>
      <c r="I351" s="2"/>
      <c r="J351" s="2"/>
      <c r="K351" s="46"/>
      <c r="L351" s="42"/>
      <c r="M351" s="42"/>
      <c r="N351" s="50"/>
      <c r="O351" s="42"/>
      <c r="P351" s="42"/>
    </row>
    <row r="352" spans="4:16" s="3" customFormat="1" ht="21" customHeight="1">
      <c r="D352" s="16"/>
      <c r="E352" s="16"/>
      <c r="F352" s="9"/>
      <c r="G352" s="9"/>
      <c r="H352" s="9"/>
      <c r="I352" s="2"/>
      <c r="J352" s="2"/>
      <c r="K352" s="46"/>
      <c r="L352" s="42"/>
      <c r="M352" s="42"/>
      <c r="N352" s="50"/>
      <c r="O352" s="42"/>
      <c r="P352" s="42"/>
    </row>
    <row r="353" spans="4:16" s="3" customFormat="1" ht="21" customHeight="1">
      <c r="D353" s="16"/>
      <c r="E353" s="16"/>
      <c r="F353" s="9"/>
      <c r="G353" s="9"/>
      <c r="H353" s="9"/>
      <c r="I353" s="2"/>
      <c r="J353" s="2"/>
      <c r="K353" s="46"/>
      <c r="L353" s="42"/>
      <c r="M353" s="42"/>
      <c r="N353" s="50"/>
      <c r="O353" s="42"/>
      <c r="P353" s="42"/>
    </row>
    <row r="354" spans="4:16" s="3" customFormat="1" ht="21" customHeight="1">
      <c r="D354" s="16"/>
      <c r="E354" s="16"/>
      <c r="F354" s="9"/>
      <c r="G354" s="9"/>
      <c r="H354" s="9"/>
      <c r="I354" s="2"/>
      <c r="J354" s="2"/>
      <c r="K354" s="46"/>
      <c r="L354" s="42"/>
      <c r="M354" s="42"/>
      <c r="N354" s="50"/>
      <c r="O354" s="42"/>
      <c r="P354" s="42"/>
    </row>
    <row r="355" spans="4:16" s="3" customFormat="1" ht="21" customHeight="1">
      <c r="D355" s="16"/>
      <c r="E355" s="16"/>
      <c r="F355" s="9"/>
      <c r="G355" s="9"/>
      <c r="H355" s="9"/>
      <c r="I355" s="2"/>
      <c r="J355" s="2"/>
      <c r="K355" s="46"/>
      <c r="L355" s="42"/>
      <c r="M355" s="42"/>
      <c r="N355" s="50"/>
      <c r="O355" s="42"/>
      <c r="P355" s="42"/>
    </row>
    <row r="356" spans="4:16" s="3" customFormat="1" ht="21" customHeight="1">
      <c r="D356" s="16"/>
      <c r="E356" s="16"/>
      <c r="F356" s="9"/>
      <c r="G356" s="9"/>
      <c r="H356" s="9"/>
      <c r="I356" s="2"/>
      <c r="J356" s="2"/>
      <c r="K356" s="46"/>
      <c r="L356" s="42"/>
      <c r="M356" s="42"/>
      <c r="N356" s="50"/>
      <c r="O356" s="42"/>
      <c r="P356" s="42"/>
    </row>
    <row r="357" spans="4:16" s="3" customFormat="1" ht="21" customHeight="1">
      <c r="D357" s="16"/>
      <c r="E357" s="16"/>
      <c r="F357" s="9"/>
      <c r="G357" s="9"/>
      <c r="H357" s="9"/>
      <c r="I357" s="2"/>
      <c r="J357" s="2"/>
      <c r="K357" s="46"/>
      <c r="L357" s="42"/>
      <c r="M357" s="42"/>
      <c r="N357" s="50"/>
      <c r="O357" s="42"/>
      <c r="P357" s="42"/>
    </row>
    <row r="358" spans="4:16" s="3" customFormat="1" ht="21" customHeight="1">
      <c r="D358" s="16"/>
      <c r="E358" s="16"/>
      <c r="F358" s="9"/>
      <c r="G358" s="9"/>
      <c r="H358" s="9"/>
      <c r="I358" s="2"/>
      <c r="J358" s="2"/>
      <c r="K358" s="46"/>
      <c r="L358" s="42"/>
      <c r="M358" s="42"/>
      <c r="N358" s="50"/>
      <c r="O358" s="42"/>
      <c r="P358" s="42"/>
    </row>
    <row r="359" spans="4:16" s="3" customFormat="1" ht="21" customHeight="1">
      <c r="D359" s="16"/>
      <c r="E359" s="16"/>
      <c r="F359" s="9"/>
      <c r="G359" s="9"/>
      <c r="H359" s="9"/>
      <c r="I359" s="2"/>
      <c r="J359" s="2"/>
      <c r="K359" s="46"/>
      <c r="L359" s="42"/>
      <c r="M359" s="42"/>
      <c r="N359" s="50"/>
      <c r="O359" s="42"/>
      <c r="P359" s="42"/>
    </row>
    <row r="360" spans="4:16" s="3" customFormat="1" ht="21" customHeight="1">
      <c r="D360" s="16"/>
      <c r="E360" s="16"/>
      <c r="F360" s="9"/>
      <c r="G360" s="9"/>
      <c r="H360" s="9"/>
      <c r="I360" s="2"/>
      <c r="J360" s="2"/>
      <c r="K360" s="46"/>
      <c r="L360" s="42"/>
      <c r="M360" s="42"/>
      <c r="N360" s="50"/>
      <c r="O360" s="42"/>
      <c r="P360" s="42"/>
    </row>
    <row r="361" spans="4:16" s="3" customFormat="1" ht="21" customHeight="1">
      <c r="D361" s="16"/>
      <c r="E361" s="16"/>
      <c r="F361" s="9"/>
      <c r="G361" s="9"/>
      <c r="H361" s="9"/>
      <c r="I361" s="2"/>
      <c r="J361" s="2"/>
      <c r="K361" s="46"/>
      <c r="L361" s="42"/>
      <c r="M361" s="42"/>
      <c r="N361" s="50"/>
      <c r="O361" s="42"/>
      <c r="P361" s="42"/>
    </row>
    <row r="362" spans="4:16" s="3" customFormat="1" ht="21" customHeight="1">
      <c r="D362" s="16"/>
      <c r="E362" s="16"/>
      <c r="F362" s="9"/>
      <c r="G362" s="9"/>
      <c r="H362" s="9"/>
      <c r="I362" s="2"/>
      <c r="J362" s="2"/>
      <c r="K362" s="46"/>
      <c r="L362" s="42"/>
      <c r="M362" s="42"/>
      <c r="N362" s="50"/>
      <c r="O362" s="42"/>
      <c r="P362" s="42"/>
    </row>
    <row r="363" spans="4:16" s="3" customFormat="1" ht="21" customHeight="1">
      <c r="D363" s="16"/>
      <c r="E363" s="16"/>
      <c r="F363" s="9"/>
      <c r="G363" s="9"/>
      <c r="H363" s="9"/>
      <c r="I363" s="2"/>
      <c r="J363" s="2"/>
      <c r="K363" s="46"/>
      <c r="L363" s="42"/>
      <c r="M363" s="42"/>
      <c r="N363" s="50"/>
      <c r="O363" s="42"/>
      <c r="P363" s="42"/>
    </row>
    <row r="364" spans="4:16" s="3" customFormat="1" ht="21" customHeight="1">
      <c r="D364" s="16"/>
      <c r="E364" s="16"/>
      <c r="F364" s="9"/>
      <c r="G364" s="9"/>
      <c r="H364" s="9"/>
      <c r="I364" s="2"/>
      <c r="J364" s="2"/>
      <c r="K364" s="46"/>
      <c r="L364" s="42"/>
      <c r="M364" s="42"/>
      <c r="N364" s="50"/>
      <c r="O364" s="42"/>
      <c r="P364" s="42"/>
    </row>
    <row r="365" spans="4:16" s="3" customFormat="1" ht="21" customHeight="1">
      <c r="D365" s="16"/>
      <c r="E365" s="16"/>
      <c r="F365" s="9"/>
      <c r="G365" s="9"/>
      <c r="H365" s="9"/>
      <c r="I365" s="2"/>
      <c r="J365" s="2"/>
      <c r="K365" s="46"/>
      <c r="L365" s="42"/>
      <c r="M365" s="42"/>
      <c r="N365" s="50"/>
      <c r="O365" s="42"/>
      <c r="P365" s="42"/>
    </row>
    <row r="366" spans="4:16" s="3" customFormat="1" ht="21" customHeight="1">
      <c r="D366" s="16"/>
      <c r="E366" s="16"/>
      <c r="F366" s="9"/>
      <c r="G366" s="9"/>
      <c r="H366" s="9"/>
      <c r="I366" s="2"/>
      <c r="J366" s="2"/>
      <c r="K366" s="46"/>
      <c r="L366" s="42"/>
      <c r="M366" s="42"/>
      <c r="N366" s="50"/>
      <c r="O366" s="42"/>
      <c r="P366" s="42"/>
    </row>
    <row r="367" spans="4:16" s="3" customFormat="1" ht="21" customHeight="1">
      <c r="D367" s="16"/>
      <c r="E367" s="16"/>
      <c r="F367" s="9"/>
      <c r="G367" s="9"/>
      <c r="H367" s="9"/>
      <c r="I367" s="2"/>
      <c r="J367" s="2"/>
      <c r="K367" s="46"/>
      <c r="L367" s="42"/>
      <c r="M367" s="42"/>
      <c r="N367" s="50"/>
      <c r="O367" s="42"/>
      <c r="P367" s="42"/>
    </row>
    <row r="368" spans="4:16" s="3" customFormat="1" ht="21" customHeight="1">
      <c r="D368" s="16"/>
      <c r="E368" s="16"/>
      <c r="F368" s="9"/>
      <c r="G368" s="9"/>
      <c r="H368" s="9"/>
      <c r="I368" s="2"/>
      <c r="J368" s="2"/>
      <c r="K368" s="46"/>
      <c r="L368" s="42"/>
      <c r="M368" s="42"/>
      <c r="N368" s="50"/>
      <c r="O368" s="42"/>
      <c r="P368" s="42"/>
    </row>
    <row r="369" spans="4:16" s="3" customFormat="1" ht="21" customHeight="1">
      <c r="D369" s="16"/>
      <c r="E369" s="16"/>
      <c r="F369" s="9"/>
      <c r="G369" s="9"/>
      <c r="H369" s="9"/>
      <c r="I369" s="2"/>
      <c r="J369" s="2"/>
      <c r="K369" s="46"/>
      <c r="L369" s="42"/>
      <c r="M369" s="42"/>
      <c r="N369" s="50"/>
      <c r="O369" s="42"/>
      <c r="P369" s="42"/>
    </row>
    <row r="370" spans="4:16" s="3" customFormat="1" ht="21" customHeight="1">
      <c r="D370" s="16"/>
      <c r="E370" s="16"/>
      <c r="F370" s="9"/>
      <c r="G370" s="9"/>
      <c r="H370" s="9"/>
      <c r="I370" s="2"/>
      <c r="J370" s="2"/>
      <c r="K370" s="46"/>
      <c r="L370" s="42"/>
      <c r="M370" s="42"/>
      <c r="N370" s="50"/>
      <c r="O370" s="42"/>
      <c r="P370" s="42"/>
    </row>
    <row r="371" spans="4:16" s="3" customFormat="1" ht="21" customHeight="1">
      <c r="D371" s="16"/>
      <c r="E371" s="16"/>
      <c r="F371" s="9"/>
      <c r="G371" s="9"/>
      <c r="H371" s="9"/>
      <c r="I371" s="2"/>
      <c r="J371" s="2"/>
      <c r="K371" s="46"/>
      <c r="L371" s="42"/>
      <c r="M371" s="42"/>
      <c r="N371" s="50"/>
      <c r="O371" s="42"/>
      <c r="P371" s="42"/>
    </row>
    <row r="372" spans="4:16" s="3" customFormat="1" ht="21" customHeight="1">
      <c r="D372" s="16"/>
      <c r="E372" s="16"/>
      <c r="F372" s="9"/>
      <c r="G372" s="9"/>
      <c r="H372" s="9"/>
      <c r="I372" s="2"/>
      <c r="J372" s="2"/>
      <c r="K372" s="46"/>
      <c r="L372" s="42"/>
      <c r="M372" s="42"/>
      <c r="N372" s="50"/>
      <c r="O372" s="42"/>
      <c r="P372" s="42"/>
    </row>
    <row r="373" spans="4:16" s="3" customFormat="1" ht="21" customHeight="1">
      <c r="D373" s="16"/>
      <c r="E373" s="16"/>
      <c r="F373" s="9"/>
      <c r="G373" s="9"/>
      <c r="H373" s="9"/>
      <c r="I373" s="2"/>
      <c r="J373" s="2"/>
      <c r="K373" s="46"/>
      <c r="L373" s="42"/>
      <c r="M373" s="42"/>
      <c r="N373" s="50"/>
      <c r="O373" s="42"/>
      <c r="P373" s="42"/>
    </row>
    <row r="374" spans="4:16" s="3" customFormat="1" ht="21" customHeight="1">
      <c r="D374" s="16"/>
      <c r="E374" s="16"/>
      <c r="F374" s="9"/>
      <c r="G374" s="9"/>
      <c r="H374" s="9"/>
      <c r="I374" s="2"/>
      <c r="J374" s="2"/>
      <c r="K374" s="46"/>
      <c r="L374" s="42"/>
      <c r="M374" s="42"/>
      <c r="N374" s="50"/>
      <c r="O374" s="42"/>
      <c r="P374" s="42"/>
    </row>
    <row r="375" spans="4:16" s="3" customFormat="1" ht="21" customHeight="1">
      <c r="D375" s="16"/>
      <c r="E375" s="16"/>
      <c r="F375" s="9"/>
      <c r="G375" s="9"/>
      <c r="H375" s="9"/>
      <c r="I375" s="2"/>
      <c r="J375" s="2"/>
      <c r="K375" s="46"/>
      <c r="L375" s="42"/>
      <c r="M375" s="42"/>
      <c r="N375" s="50"/>
      <c r="O375" s="42"/>
      <c r="P375" s="42"/>
    </row>
    <row r="376" spans="4:16" s="3" customFormat="1" ht="21" customHeight="1">
      <c r="D376" s="16"/>
      <c r="E376" s="16"/>
      <c r="F376" s="9"/>
      <c r="G376" s="9"/>
      <c r="H376" s="9"/>
      <c r="I376" s="2"/>
      <c r="J376" s="2"/>
      <c r="K376" s="46"/>
      <c r="L376" s="42"/>
      <c r="M376" s="42"/>
      <c r="N376" s="50"/>
      <c r="O376" s="42"/>
      <c r="P376" s="42"/>
    </row>
    <row r="377" spans="4:16" s="3" customFormat="1" ht="21" customHeight="1">
      <c r="D377" s="16"/>
      <c r="E377" s="16"/>
      <c r="F377" s="9"/>
      <c r="G377" s="9"/>
      <c r="H377" s="9"/>
      <c r="I377" s="2"/>
      <c r="J377" s="2"/>
      <c r="K377" s="46"/>
      <c r="L377" s="42"/>
      <c r="M377" s="42"/>
      <c r="N377" s="50"/>
      <c r="O377" s="42"/>
      <c r="P377" s="42"/>
    </row>
    <row r="378" spans="4:16" s="3" customFormat="1" ht="21" customHeight="1">
      <c r="D378" s="16"/>
      <c r="E378" s="16"/>
      <c r="F378" s="9"/>
      <c r="G378" s="9"/>
      <c r="H378" s="9"/>
      <c r="I378" s="2"/>
      <c r="J378" s="2"/>
      <c r="K378" s="46"/>
      <c r="L378" s="42"/>
      <c r="M378" s="42"/>
      <c r="N378" s="50"/>
      <c r="O378" s="42"/>
      <c r="P378" s="42"/>
    </row>
    <row r="379" spans="4:16" s="3" customFormat="1" ht="21" customHeight="1">
      <c r="D379" s="16"/>
      <c r="E379" s="16"/>
      <c r="F379" s="9"/>
      <c r="G379" s="9"/>
      <c r="H379" s="9"/>
      <c r="I379" s="2"/>
      <c r="J379" s="2"/>
      <c r="K379" s="46"/>
      <c r="L379" s="42"/>
      <c r="M379" s="42"/>
      <c r="N379" s="50"/>
      <c r="O379" s="42"/>
      <c r="P379" s="42"/>
    </row>
    <row r="380" spans="4:16" s="3" customFormat="1" ht="21" customHeight="1">
      <c r="D380" s="16"/>
      <c r="E380" s="16"/>
      <c r="F380" s="9"/>
      <c r="G380" s="9"/>
      <c r="H380" s="9"/>
      <c r="I380" s="2"/>
      <c r="J380" s="2"/>
      <c r="K380" s="46"/>
      <c r="L380" s="42"/>
      <c r="M380" s="42"/>
      <c r="N380" s="50"/>
      <c r="O380" s="42"/>
      <c r="P380" s="42"/>
    </row>
    <row r="381" spans="4:16" s="3" customFormat="1" ht="21" customHeight="1">
      <c r="D381" s="16"/>
      <c r="E381" s="16"/>
      <c r="F381" s="9"/>
      <c r="G381" s="9"/>
      <c r="H381" s="9"/>
      <c r="I381" s="2"/>
      <c r="J381" s="2"/>
      <c r="K381" s="46"/>
      <c r="L381" s="42"/>
      <c r="M381" s="42"/>
      <c r="N381" s="50"/>
      <c r="O381" s="42"/>
      <c r="P381" s="42"/>
    </row>
    <row r="382" spans="4:16" s="3" customFormat="1" ht="21" customHeight="1">
      <c r="D382" s="16"/>
      <c r="E382" s="16"/>
      <c r="F382" s="9"/>
      <c r="G382" s="9"/>
      <c r="H382" s="9"/>
      <c r="I382" s="2"/>
      <c r="J382" s="2"/>
      <c r="K382" s="46"/>
      <c r="L382" s="42"/>
      <c r="M382" s="42"/>
      <c r="N382" s="50"/>
      <c r="O382" s="42"/>
      <c r="P382" s="42"/>
    </row>
    <row r="383" spans="4:16" s="3" customFormat="1" ht="21" customHeight="1">
      <c r="D383" s="16"/>
      <c r="E383" s="16"/>
      <c r="F383" s="9"/>
      <c r="G383" s="9"/>
      <c r="H383" s="9"/>
      <c r="I383" s="2"/>
      <c r="J383" s="2"/>
      <c r="K383" s="46"/>
      <c r="L383" s="42"/>
      <c r="M383" s="42"/>
      <c r="N383" s="50"/>
      <c r="O383" s="42"/>
      <c r="P383" s="42"/>
    </row>
    <row r="384" spans="4:16" s="3" customFormat="1" ht="21" customHeight="1">
      <c r="D384" s="16"/>
      <c r="E384" s="16"/>
      <c r="F384" s="9"/>
      <c r="G384" s="9"/>
      <c r="H384" s="9"/>
      <c r="I384" s="2"/>
      <c r="J384" s="2"/>
      <c r="K384" s="46"/>
      <c r="L384" s="42"/>
      <c r="M384" s="42"/>
      <c r="N384" s="50"/>
      <c r="O384" s="42"/>
      <c r="P384" s="42"/>
    </row>
    <row r="385" spans="4:16" s="3" customFormat="1" ht="21" customHeight="1">
      <c r="D385" s="16"/>
      <c r="E385" s="16"/>
      <c r="F385" s="9"/>
      <c r="G385" s="9"/>
      <c r="H385" s="9"/>
      <c r="I385" s="2"/>
      <c r="J385" s="2"/>
      <c r="K385" s="46"/>
      <c r="L385" s="42"/>
      <c r="M385" s="42"/>
      <c r="N385" s="50"/>
      <c r="O385" s="42"/>
      <c r="P385" s="42"/>
    </row>
    <row r="386" spans="4:16" s="3" customFormat="1" ht="21" customHeight="1">
      <c r="D386" s="16"/>
      <c r="E386" s="16"/>
      <c r="F386" s="9"/>
      <c r="G386" s="9"/>
      <c r="H386" s="9"/>
      <c r="I386" s="2"/>
      <c r="J386" s="2"/>
      <c r="K386" s="46"/>
      <c r="L386" s="42"/>
      <c r="M386" s="42"/>
      <c r="N386" s="50"/>
      <c r="O386" s="42"/>
      <c r="P386" s="42"/>
    </row>
    <row r="387" spans="4:16" s="3" customFormat="1" ht="21" customHeight="1">
      <c r="D387" s="16"/>
      <c r="E387" s="16"/>
      <c r="F387" s="9"/>
      <c r="G387" s="9"/>
      <c r="H387" s="9"/>
      <c r="I387" s="2"/>
      <c r="J387" s="2"/>
      <c r="K387" s="46"/>
      <c r="L387" s="42"/>
      <c r="M387" s="42"/>
      <c r="N387" s="50"/>
      <c r="O387" s="42"/>
      <c r="P387" s="42"/>
    </row>
    <row r="388" spans="4:16" s="3" customFormat="1" ht="21" customHeight="1">
      <c r="D388" s="16"/>
      <c r="E388" s="16"/>
      <c r="F388" s="9"/>
      <c r="G388" s="9"/>
      <c r="H388" s="9"/>
      <c r="I388" s="2"/>
      <c r="J388" s="2"/>
      <c r="K388" s="46"/>
      <c r="L388" s="42"/>
      <c r="M388" s="42"/>
      <c r="N388" s="50"/>
      <c r="O388" s="42"/>
      <c r="P388" s="42"/>
    </row>
    <row r="389" spans="4:16" s="3" customFormat="1" ht="21" customHeight="1">
      <c r="D389" s="16"/>
      <c r="E389" s="16"/>
      <c r="F389" s="9"/>
      <c r="G389" s="9"/>
      <c r="H389" s="9"/>
      <c r="I389" s="2"/>
      <c r="J389" s="2"/>
      <c r="K389" s="46"/>
      <c r="L389" s="42"/>
      <c r="M389" s="42"/>
      <c r="N389" s="50"/>
      <c r="O389" s="42"/>
      <c r="P389" s="42"/>
    </row>
    <row r="390" spans="4:16" s="3" customFormat="1" ht="21" customHeight="1">
      <c r="D390" s="16"/>
      <c r="E390" s="16"/>
      <c r="F390" s="9"/>
      <c r="G390" s="9"/>
      <c r="H390" s="9"/>
      <c r="I390" s="2"/>
      <c r="J390" s="2"/>
      <c r="K390" s="46"/>
      <c r="L390" s="42"/>
      <c r="M390" s="42"/>
      <c r="N390" s="50"/>
      <c r="O390" s="42"/>
      <c r="P390" s="42"/>
    </row>
    <row r="391" spans="4:16" s="3" customFormat="1" ht="21" customHeight="1">
      <c r="D391" s="16"/>
      <c r="E391" s="16"/>
      <c r="F391" s="9"/>
      <c r="G391" s="9"/>
      <c r="H391" s="9"/>
      <c r="I391" s="2"/>
      <c r="J391" s="2"/>
      <c r="K391" s="46"/>
      <c r="L391" s="42"/>
      <c r="M391" s="42"/>
      <c r="N391" s="50"/>
      <c r="O391" s="42"/>
      <c r="P391" s="42"/>
    </row>
    <row r="392" spans="4:16" s="3" customFormat="1" ht="21" customHeight="1">
      <c r="D392" s="16"/>
      <c r="E392" s="16"/>
      <c r="F392" s="9"/>
      <c r="G392" s="9"/>
      <c r="H392" s="9"/>
      <c r="I392" s="2"/>
      <c r="J392" s="2"/>
      <c r="K392" s="46"/>
      <c r="L392" s="42"/>
      <c r="M392" s="42"/>
      <c r="N392" s="50"/>
      <c r="O392" s="42"/>
      <c r="P392" s="42"/>
    </row>
    <row r="393" spans="4:16" s="3" customFormat="1" ht="21" customHeight="1">
      <c r="D393" s="16"/>
      <c r="E393" s="16"/>
      <c r="F393" s="9"/>
      <c r="G393" s="9"/>
      <c r="H393" s="9"/>
      <c r="I393" s="2"/>
      <c r="J393" s="2"/>
      <c r="K393" s="46"/>
      <c r="L393" s="42"/>
      <c r="M393" s="42"/>
      <c r="N393" s="50"/>
      <c r="O393" s="42"/>
      <c r="P393" s="42"/>
    </row>
    <row r="394" spans="4:16" s="3" customFormat="1" ht="21" customHeight="1">
      <c r="D394" s="16"/>
      <c r="E394" s="16"/>
      <c r="F394" s="9"/>
      <c r="G394" s="9"/>
      <c r="H394" s="9"/>
      <c r="I394" s="2"/>
      <c r="J394" s="2"/>
      <c r="K394" s="46"/>
      <c r="L394" s="42"/>
      <c r="M394" s="42"/>
      <c r="N394" s="50"/>
      <c r="O394" s="42"/>
      <c r="P394" s="42"/>
    </row>
    <row r="395" spans="4:16" s="3" customFormat="1" ht="21" customHeight="1">
      <c r="D395" s="16"/>
      <c r="E395" s="16"/>
      <c r="F395" s="9"/>
      <c r="G395" s="9"/>
      <c r="H395" s="9"/>
      <c r="I395" s="2"/>
      <c r="J395" s="2"/>
      <c r="K395" s="46"/>
      <c r="L395" s="42"/>
      <c r="M395" s="42"/>
      <c r="N395" s="50"/>
      <c r="O395" s="42"/>
      <c r="P395" s="42"/>
    </row>
    <row r="396" spans="4:16" s="3" customFormat="1" ht="21" customHeight="1">
      <c r="D396" s="16"/>
      <c r="E396" s="16"/>
      <c r="F396" s="9"/>
      <c r="G396" s="9"/>
      <c r="H396" s="9"/>
      <c r="I396" s="2"/>
      <c r="J396" s="2"/>
      <c r="K396" s="46"/>
      <c r="L396" s="42"/>
      <c r="M396" s="42"/>
      <c r="N396" s="50"/>
      <c r="O396" s="42"/>
      <c r="P396" s="42"/>
    </row>
    <row r="397" spans="4:16" s="3" customFormat="1" ht="21" customHeight="1">
      <c r="D397" s="16"/>
      <c r="E397" s="16"/>
      <c r="F397" s="9"/>
      <c r="G397" s="9"/>
      <c r="H397" s="9"/>
      <c r="I397" s="2"/>
      <c r="J397" s="2"/>
      <c r="K397" s="46"/>
      <c r="L397" s="42"/>
      <c r="M397" s="42"/>
      <c r="N397" s="50"/>
      <c r="O397" s="42"/>
      <c r="P397" s="42"/>
    </row>
    <row r="398" spans="4:16" s="3" customFormat="1" ht="21" customHeight="1">
      <c r="D398" s="16"/>
      <c r="E398" s="16"/>
      <c r="F398" s="9"/>
      <c r="G398" s="9"/>
      <c r="H398" s="9"/>
      <c r="I398" s="2"/>
      <c r="J398" s="2"/>
      <c r="K398" s="46"/>
      <c r="L398" s="42"/>
      <c r="M398" s="42"/>
      <c r="N398" s="50"/>
      <c r="O398" s="42"/>
      <c r="P398" s="42"/>
    </row>
    <row r="399" spans="4:16" s="3" customFormat="1" ht="21" customHeight="1">
      <c r="D399" s="16"/>
      <c r="E399" s="16"/>
      <c r="F399" s="9"/>
      <c r="G399" s="9"/>
      <c r="H399" s="9"/>
      <c r="I399" s="2"/>
      <c r="J399" s="2"/>
      <c r="K399" s="46"/>
      <c r="L399" s="42"/>
      <c r="M399" s="42"/>
      <c r="N399" s="50"/>
      <c r="O399" s="42"/>
      <c r="P399" s="42"/>
    </row>
    <row r="400" spans="4:16" s="3" customFormat="1" ht="21" customHeight="1">
      <c r="D400" s="16"/>
      <c r="E400" s="16"/>
      <c r="F400" s="9"/>
      <c r="G400" s="9"/>
      <c r="H400" s="9"/>
      <c r="I400" s="2"/>
      <c r="J400" s="2"/>
      <c r="K400" s="46"/>
      <c r="L400" s="42"/>
      <c r="M400" s="42"/>
      <c r="N400" s="50"/>
      <c r="O400" s="42"/>
      <c r="P400" s="42"/>
    </row>
    <row r="401" spans="4:16" s="3" customFormat="1" ht="21" customHeight="1">
      <c r="D401" s="16"/>
      <c r="E401" s="16"/>
      <c r="F401" s="9"/>
      <c r="G401" s="9"/>
      <c r="H401" s="9"/>
      <c r="I401" s="2"/>
      <c r="J401" s="2"/>
      <c r="K401" s="46"/>
      <c r="L401" s="42"/>
      <c r="M401" s="42"/>
      <c r="N401" s="50"/>
      <c r="O401" s="42"/>
      <c r="P401" s="42"/>
    </row>
    <row r="402" spans="4:16" s="3" customFormat="1" ht="21" customHeight="1">
      <c r="D402" s="16"/>
      <c r="E402" s="16"/>
      <c r="F402" s="9"/>
      <c r="G402" s="9"/>
      <c r="H402" s="9"/>
      <c r="I402" s="2"/>
      <c r="J402" s="2"/>
      <c r="K402" s="46"/>
      <c r="L402" s="42"/>
      <c r="M402" s="42"/>
      <c r="N402" s="50"/>
      <c r="O402" s="42"/>
      <c r="P402" s="42"/>
    </row>
    <row r="403" spans="4:16" s="3" customFormat="1" ht="21" customHeight="1">
      <c r="D403" s="16"/>
      <c r="E403" s="16"/>
      <c r="F403" s="9"/>
      <c r="G403" s="9"/>
      <c r="H403" s="9"/>
      <c r="I403" s="2"/>
      <c r="J403" s="2"/>
      <c r="K403" s="46"/>
      <c r="L403" s="42"/>
      <c r="M403" s="42"/>
      <c r="N403" s="50"/>
      <c r="O403" s="42"/>
      <c r="P403" s="42"/>
    </row>
    <row r="404" spans="4:16" s="3" customFormat="1" ht="21" customHeight="1">
      <c r="D404" s="16"/>
      <c r="E404" s="16"/>
      <c r="F404" s="9"/>
      <c r="G404" s="9"/>
      <c r="H404" s="9"/>
      <c r="I404" s="2"/>
      <c r="J404" s="2"/>
      <c r="K404" s="46"/>
      <c r="L404" s="42"/>
      <c r="M404" s="42"/>
      <c r="N404" s="50"/>
      <c r="O404" s="42"/>
      <c r="P404" s="42"/>
    </row>
    <row r="405" spans="4:16" s="3" customFormat="1" ht="21" customHeight="1">
      <c r="D405" s="16"/>
      <c r="E405" s="16"/>
      <c r="F405" s="9"/>
      <c r="G405" s="9"/>
      <c r="H405" s="9"/>
      <c r="I405" s="2"/>
      <c r="J405" s="2"/>
      <c r="K405" s="46"/>
      <c r="L405" s="42"/>
      <c r="M405" s="42"/>
      <c r="N405" s="50"/>
      <c r="O405" s="42"/>
      <c r="P405" s="42"/>
    </row>
    <row r="406" spans="4:16" s="3" customFormat="1" ht="21" customHeight="1">
      <c r="D406" s="16"/>
      <c r="E406" s="16"/>
      <c r="F406" s="9"/>
      <c r="G406" s="9"/>
      <c r="H406" s="9"/>
      <c r="I406" s="2"/>
      <c r="J406" s="2"/>
      <c r="K406" s="46"/>
      <c r="L406" s="42"/>
      <c r="M406" s="42"/>
      <c r="N406" s="50"/>
      <c r="O406" s="42"/>
      <c r="P406" s="42"/>
    </row>
    <row r="407" spans="4:16" s="3" customFormat="1" ht="21" customHeight="1">
      <c r="D407" s="16"/>
      <c r="E407" s="16"/>
      <c r="F407" s="9"/>
      <c r="G407" s="9"/>
      <c r="H407" s="9"/>
      <c r="I407" s="2"/>
      <c r="J407" s="2"/>
      <c r="K407" s="46"/>
      <c r="L407" s="42"/>
      <c r="M407" s="42"/>
      <c r="N407" s="50"/>
      <c r="O407" s="42"/>
      <c r="P407" s="42"/>
    </row>
    <row r="408" spans="4:16" s="3" customFormat="1" ht="21" customHeight="1">
      <c r="D408" s="16"/>
      <c r="E408" s="16"/>
      <c r="F408" s="9"/>
      <c r="G408" s="9"/>
      <c r="H408" s="9"/>
      <c r="I408" s="2"/>
      <c r="J408" s="2"/>
      <c r="K408" s="46"/>
      <c r="L408" s="42"/>
      <c r="M408" s="42"/>
      <c r="N408" s="50"/>
      <c r="O408" s="42"/>
      <c r="P408" s="42"/>
    </row>
    <row r="409" spans="4:16" s="3" customFormat="1" ht="21" customHeight="1">
      <c r="D409" s="16"/>
      <c r="E409" s="16"/>
      <c r="F409" s="9"/>
      <c r="G409" s="9"/>
      <c r="H409" s="9"/>
      <c r="I409" s="2"/>
      <c r="J409" s="2"/>
      <c r="K409" s="46"/>
      <c r="L409" s="42"/>
      <c r="M409" s="42"/>
      <c r="N409" s="50"/>
      <c r="O409" s="42"/>
      <c r="P409" s="42"/>
    </row>
    <row r="410" spans="4:16" s="3" customFormat="1" ht="21" customHeight="1">
      <c r="D410" s="16"/>
      <c r="E410" s="16"/>
      <c r="F410" s="9"/>
      <c r="G410" s="9"/>
      <c r="H410" s="9"/>
      <c r="I410" s="2"/>
      <c r="J410" s="2"/>
      <c r="K410" s="46"/>
      <c r="L410" s="42"/>
      <c r="M410" s="42"/>
      <c r="N410" s="50"/>
      <c r="O410" s="42"/>
      <c r="P410" s="42"/>
    </row>
    <row r="411" spans="4:16" s="3" customFormat="1" ht="21" customHeight="1">
      <c r="D411" s="16"/>
      <c r="E411" s="16"/>
      <c r="F411" s="9"/>
      <c r="G411" s="9"/>
      <c r="H411" s="9"/>
      <c r="I411" s="2"/>
      <c r="J411" s="2"/>
      <c r="K411" s="46"/>
      <c r="L411" s="42"/>
      <c r="M411" s="42"/>
      <c r="N411" s="50"/>
      <c r="O411" s="42"/>
      <c r="P411" s="42"/>
    </row>
    <row r="412" spans="4:16" s="3" customFormat="1" ht="21" customHeight="1">
      <c r="D412" s="16"/>
      <c r="E412" s="16"/>
      <c r="F412" s="9"/>
      <c r="G412" s="9"/>
      <c r="H412" s="9"/>
      <c r="I412" s="2"/>
      <c r="J412" s="2"/>
      <c r="K412" s="46"/>
      <c r="L412" s="42"/>
      <c r="M412" s="42"/>
      <c r="N412" s="50"/>
      <c r="O412" s="42"/>
      <c r="P412" s="42"/>
    </row>
    <row r="413" spans="4:16" s="3" customFormat="1" ht="21" customHeight="1">
      <c r="D413" s="16"/>
      <c r="E413" s="16"/>
      <c r="F413" s="9"/>
      <c r="G413" s="9"/>
      <c r="H413" s="9"/>
      <c r="I413" s="2"/>
      <c r="J413" s="2"/>
      <c r="K413" s="46"/>
      <c r="L413" s="42"/>
      <c r="M413" s="42"/>
      <c r="N413" s="50"/>
      <c r="O413" s="42"/>
      <c r="P413" s="42"/>
    </row>
    <row r="414" spans="4:16" s="3" customFormat="1" ht="21" customHeight="1">
      <c r="D414" s="16"/>
      <c r="E414" s="16"/>
      <c r="F414" s="9"/>
      <c r="G414" s="9"/>
      <c r="H414" s="9"/>
      <c r="I414" s="2"/>
      <c r="J414" s="2"/>
      <c r="K414" s="46"/>
      <c r="L414" s="42"/>
      <c r="M414" s="42"/>
      <c r="N414" s="50"/>
      <c r="O414" s="42"/>
      <c r="P414" s="42"/>
    </row>
    <row r="415" spans="4:16" s="3" customFormat="1" ht="21" customHeight="1">
      <c r="D415" s="16"/>
      <c r="E415" s="16"/>
      <c r="F415" s="9"/>
      <c r="G415" s="9"/>
      <c r="H415" s="9"/>
      <c r="I415" s="2"/>
      <c r="J415" s="2"/>
      <c r="K415" s="46"/>
      <c r="L415" s="42"/>
      <c r="M415" s="42"/>
      <c r="N415" s="50"/>
      <c r="O415" s="42"/>
      <c r="P415" s="42"/>
    </row>
    <row r="416" spans="4:16" s="3" customFormat="1" ht="21" customHeight="1">
      <c r="D416" s="16"/>
      <c r="E416" s="16"/>
      <c r="F416" s="9"/>
      <c r="G416" s="9"/>
      <c r="H416" s="9"/>
      <c r="I416" s="2"/>
      <c r="J416" s="2"/>
      <c r="K416" s="46"/>
      <c r="L416" s="42"/>
      <c r="M416" s="42"/>
      <c r="N416" s="50"/>
      <c r="O416" s="42"/>
      <c r="P416" s="42"/>
    </row>
    <row r="417" spans="4:16" s="3" customFormat="1" ht="21" customHeight="1">
      <c r="D417" s="16"/>
      <c r="E417" s="16"/>
      <c r="F417" s="9"/>
      <c r="G417" s="9"/>
      <c r="H417" s="9"/>
      <c r="I417" s="2"/>
      <c r="J417" s="2"/>
      <c r="K417" s="46"/>
      <c r="L417" s="42"/>
      <c r="M417" s="42"/>
      <c r="N417" s="50"/>
      <c r="O417" s="42"/>
      <c r="P417" s="42"/>
    </row>
    <row r="418" spans="4:16" s="3" customFormat="1" ht="21" customHeight="1">
      <c r="D418" s="16"/>
      <c r="E418" s="16"/>
      <c r="F418" s="9"/>
      <c r="G418" s="9"/>
      <c r="H418" s="9"/>
      <c r="I418" s="2"/>
      <c r="J418" s="2"/>
      <c r="K418" s="46"/>
      <c r="L418" s="42"/>
      <c r="M418" s="42"/>
      <c r="N418" s="50"/>
      <c r="O418" s="42"/>
      <c r="P418" s="42"/>
    </row>
    <row r="419" spans="4:16" s="3" customFormat="1" ht="21" customHeight="1">
      <c r="D419" s="16"/>
      <c r="E419" s="16"/>
      <c r="F419" s="9"/>
      <c r="G419" s="9"/>
      <c r="H419" s="9"/>
      <c r="I419" s="2"/>
      <c r="J419" s="2"/>
      <c r="K419" s="46"/>
      <c r="L419" s="42"/>
      <c r="M419" s="42"/>
      <c r="N419" s="50"/>
      <c r="O419" s="42"/>
      <c r="P419" s="42"/>
    </row>
    <row r="420" spans="4:16" s="3" customFormat="1" ht="21" customHeight="1">
      <c r="D420" s="16"/>
      <c r="E420" s="16"/>
      <c r="F420" s="9"/>
      <c r="G420" s="9"/>
      <c r="H420" s="9"/>
      <c r="I420" s="2"/>
      <c r="J420" s="2"/>
      <c r="K420" s="46"/>
      <c r="L420" s="42"/>
      <c r="M420" s="42"/>
      <c r="N420" s="50"/>
      <c r="O420" s="42"/>
      <c r="P420" s="42"/>
    </row>
    <row r="421" spans="4:16" s="3" customFormat="1" ht="21" customHeight="1">
      <c r="D421" s="16"/>
      <c r="E421" s="16"/>
      <c r="F421" s="9"/>
      <c r="G421" s="9"/>
      <c r="H421" s="9"/>
      <c r="I421" s="2"/>
      <c r="J421" s="2"/>
      <c r="K421" s="46"/>
      <c r="L421" s="42"/>
      <c r="M421" s="42"/>
      <c r="N421" s="50"/>
      <c r="O421" s="42"/>
      <c r="P421" s="42"/>
    </row>
    <row r="422" spans="4:16" s="3" customFormat="1" ht="21" customHeight="1">
      <c r="D422" s="16"/>
      <c r="E422" s="16"/>
      <c r="F422" s="9"/>
      <c r="G422" s="9"/>
      <c r="H422" s="9"/>
      <c r="I422" s="2"/>
      <c r="J422" s="2"/>
      <c r="K422" s="46"/>
      <c r="L422" s="42"/>
      <c r="M422" s="42"/>
      <c r="N422" s="50"/>
      <c r="O422" s="42"/>
      <c r="P422" s="42"/>
    </row>
    <row r="423" spans="4:16" s="3" customFormat="1" ht="21" customHeight="1">
      <c r="D423" s="16"/>
      <c r="E423" s="16"/>
      <c r="F423" s="9"/>
      <c r="G423" s="9"/>
      <c r="H423" s="9"/>
      <c r="I423" s="2"/>
      <c r="J423" s="2"/>
      <c r="K423" s="46"/>
      <c r="L423" s="42"/>
      <c r="M423" s="42"/>
      <c r="N423" s="50"/>
      <c r="O423" s="42"/>
      <c r="P423" s="42"/>
    </row>
    <row r="424" spans="4:16" s="3" customFormat="1" ht="21" customHeight="1">
      <c r="D424" s="16"/>
      <c r="E424" s="16"/>
      <c r="F424" s="9"/>
      <c r="G424" s="9"/>
      <c r="H424" s="9"/>
      <c r="I424" s="2"/>
      <c r="J424" s="2"/>
      <c r="K424" s="46"/>
      <c r="L424" s="42"/>
      <c r="M424" s="42"/>
      <c r="N424" s="50"/>
      <c r="O424" s="42"/>
      <c r="P424" s="42"/>
    </row>
    <row r="425" spans="4:16" s="3" customFormat="1" ht="21" customHeight="1">
      <c r="D425" s="16"/>
      <c r="E425" s="16"/>
      <c r="F425" s="9"/>
      <c r="G425" s="9"/>
      <c r="H425" s="9"/>
      <c r="I425" s="2"/>
      <c r="J425" s="2"/>
      <c r="K425" s="46"/>
      <c r="L425" s="42"/>
      <c r="M425" s="42"/>
      <c r="N425" s="50"/>
      <c r="O425" s="42"/>
      <c r="P425" s="42"/>
    </row>
    <row r="426" spans="4:16" s="3" customFormat="1" ht="21" customHeight="1">
      <c r="D426" s="16"/>
      <c r="E426" s="16"/>
      <c r="F426" s="9"/>
      <c r="G426" s="9"/>
      <c r="H426" s="9"/>
      <c r="I426" s="2"/>
      <c r="J426" s="2"/>
      <c r="K426" s="46"/>
      <c r="L426" s="42"/>
      <c r="M426" s="42"/>
      <c r="N426" s="50"/>
      <c r="O426" s="42"/>
      <c r="P426" s="42"/>
    </row>
    <row r="427" spans="4:16" s="3" customFormat="1" ht="21" customHeight="1">
      <c r="D427" s="16"/>
      <c r="E427" s="16"/>
      <c r="F427" s="9"/>
      <c r="G427" s="9"/>
      <c r="H427" s="9"/>
      <c r="I427" s="2"/>
      <c r="J427" s="2"/>
      <c r="K427" s="46"/>
      <c r="L427" s="42"/>
      <c r="M427" s="42"/>
      <c r="N427" s="50"/>
      <c r="O427" s="42"/>
      <c r="P427" s="42"/>
    </row>
    <row r="428" spans="4:16" s="3" customFormat="1" ht="21" customHeight="1">
      <c r="D428" s="16"/>
      <c r="E428" s="16"/>
      <c r="F428" s="9"/>
      <c r="G428" s="9"/>
      <c r="H428" s="9"/>
      <c r="I428" s="2"/>
      <c r="J428" s="2"/>
      <c r="K428" s="46"/>
      <c r="L428" s="42"/>
      <c r="M428" s="42"/>
      <c r="N428" s="50"/>
      <c r="O428" s="42"/>
      <c r="P428" s="42"/>
    </row>
    <row r="429" spans="4:16" s="3" customFormat="1" ht="21" customHeight="1">
      <c r="D429" s="16"/>
      <c r="E429" s="16"/>
      <c r="F429" s="9"/>
      <c r="G429" s="9"/>
      <c r="H429" s="9"/>
      <c r="I429" s="2"/>
      <c r="J429" s="2"/>
      <c r="K429" s="46"/>
      <c r="L429" s="42"/>
      <c r="M429" s="42"/>
      <c r="N429" s="50"/>
      <c r="O429" s="42"/>
      <c r="P429" s="42"/>
    </row>
    <row r="430" spans="4:16" s="3" customFormat="1" ht="21" customHeight="1">
      <c r="D430" s="16"/>
      <c r="E430" s="16"/>
      <c r="F430" s="9"/>
      <c r="G430" s="9"/>
      <c r="H430" s="9"/>
      <c r="I430" s="2"/>
      <c r="J430" s="2"/>
      <c r="K430" s="46"/>
      <c r="L430" s="42"/>
      <c r="M430" s="42"/>
      <c r="N430" s="50"/>
      <c r="O430" s="42"/>
      <c r="P430" s="42"/>
    </row>
    <row r="431" spans="4:16" s="3" customFormat="1" ht="21" customHeight="1">
      <c r="D431" s="16"/>
      <c r="E431" s="16"/>
      <c r="F431" s="9"/>
      <c r="G431" s="9"/>
      <c r="H431" s="9"/>
      <c r="I431" s="2"/>
      <c r="J431" s="2"/>
      <c r="K431" s="46"/>
      <c r="L431" s="42"/>
      <c r="M431" s="42"/>
      <c r="N431" s="50"/>
      <c r="O431" s="42"/>
      <c r="P431" s="42"/>
    </row>
    <row r="432" spans="4:16" s="3" customFormat="1" ht="21" customHeight="1">
      <c r="D432" s="16"/>
      <c r="E432" s="16"/>
      <c r="F432" s="9"/>
      <c r="G432" s="9"/>
      <c r="H432" s="9"/>
      <c r="I432" s="2"/>
      <c r="J432" s="2"/>
      <c r="K432" s="46"/>
      <c r="L432" s="42"/>
      <c r="M432" s="42"/>
      <c r="N432" s="50"/>
      <c r="O432" s="42"/>
      <c r="P432" s="42"/>
    </row>
    <row r="433" spans="4:16" s="3" customFormat="1" ht="21" customHeight="1">
      <c r="D433" s="16"/>
      <c r="E433" s="16"/>
      <c r="F433" s="9"/>
      <c r="G433" s="9"/>
      <c r="H433" s="9"/>
      <c r="I433" s="2"/>
      <c r="J433" s="2"/>
      <c r="K433" s="46"/>
      <c r="L433" s="42"/>
      <c r="M433" s="42"/>
      <c r="N433" s="50"/>
      <c r="O433" s="42"/>
      <c r="P433" s="42"/>
    </row>
    <row r="434" spans="4:16" s="3" customFormat="1" ht="21" customHeight="1">
      <c r="D434" s="16"/>
      <c r="E434" s="16"/>
      <c r="F434" s="9"/>
      <c r="G434" s="9"/>
      <c r="H434" s="9"/>
      <c r="I434" s="2"/>
      <c r="J434" s="2"/>
      <c r="K434" s="46"/>
      <c r="L434" s="42"/>
      <c r="M434" s="42"/>
      <c r="N434" s="50"/>
      <c r="O434" s="42"/>
      <c r="P434" s="42"/>
    </row>
    <row r="435" spans="4:16" s="3" customFormat="1" ht="21" customHeight="1">
      <c r="D435" s="16"/>
      <c r="E435" s="16"/>
      <c r="F435" s="9"/>
      <c r="G435" s="9"/>
      <c r="H435" s="9"/>
      <c r="I435" s="2"/>
      <c r="J435" s="2"/>
      <c r="K435" s="46"/>
      <c r="L435" s="42"/>
      <c r="M435" s="42"/>
      <c r="N435" s="50"/>
      <c r="O435" s="42"/>
      <c r="P435" s="42"/>
    </row>
    <row r="436" spans="4:16" s="3" customFormat="1" ht="21" customHeight="1">
      <c r="D436" s="16"/>
      <c r="E436" s="16"/>
      <c r="F436" s="9"/>
      <c r="G436" s="9"/>
      <c r="H436" s="9"/>
      <c r="I436" s="2"/>
      <c r="J436" s="2"/>
      <c r="K436" s="46"/>
      <c r="L436" s="42"/>
      <c r="M436" s="42"/>
      <c r="N436" s="50"/>
      <c r="O436" s="42"/>
      <c r="P436" s="42"/>
    </row>
    <row r="437" spans="4:16" s="3" customFormat="1" ht="21" customHeight="1">
      <c r="D437" s="16"/>
      <c r="E437" s="16"/>
      <c r="F437" s="9"/>
      <c r="G437" s="9"/>
      <c r="H437" s="9"/>
      <c r="I437" s="2"/>
      <c r="J437" s="2"/>
      <c r="K437" s="46"/>
      <c r="L437" s="42"/>
      <c r="M437" s="42"/>
      <c r="N437" s="50"/>
      <c r="O437" s="42"/>
      <c r="P437" s="42"/>
    </row>
    <row r="438" spans="4:16" s="3" customFormat="1" ht="21" customHeight="1">
      <c r="D438" s="16"/>
      <c r="E438" s="16"/>
      <c r="F438" s="9"/>
      <c r="G438" s="9"/>
      <c r="H438" s="9"/>
      <c r="I438" s="2"/>
      <c r="J438" s="2"/>
      <c r="K438" s="46"/>
      <c r="L438" s="42"/>
      <c r="M438" s="42"/>
      <c r="N438" s="50"/>
      <c r="O438" s="42"/>
      <c r="P438" s="42"/>
    </row>
    <row r="439" spans="4:16" s="3" customFormat="1" ht="21" customHeight="1">
      <c r="D439" s="16"/>
      <c r="E439" s="16"/>
      <c r="F439" s="9"/>
      <c r="G439" s="9"/>
      <c r="H439" s="9"/>
      <c r="I439" s="2"/>
      <c r="J439" s="2"/>
      <c r="K439" s="46"/>
      <c r="L439" s="42"/>
      <c r="M439" s="42"/>
      <c r="N439" s="50"/>
      <c r="O439" s="42"/>
      <c r="P439" s="42"/>
    </row>
    <row r="440" spans="4:16" s="3" customFormat="1" ht="21" customHeight="1">
      <c r="D440" s="16"/>
      <c r="E440" s="16"/>
      <c r="F440" s="9"/>
      <c r="G440" s="9"/>
      <c r="H440" s="9"/>
      <c r="I440" s="2"/>
      <c r="J440" s="2"/>
      <c r="K440" s="46"/>
      <c r="L440" s="42"/>
      <c r="M440" s="42"/>
      <c r="N440" s="50"/>
      <c r="O440" s="42"/>
      <c r="P440" s="42"/>
    </row>
    <row r="441" spans="4:16" s="3" customFormat="1" ht="21" customHeight="1">
      <c r="D441" s="16"/>
      <c r="E441" s="16"/>
      <c r="F441" s="9"/>
      <c r="G441" s="9"/>
      <c r="H441" s="9"/>
      <c r="I441" s="2"/>
      <c r="J441" s="2"/>
      <c r="K441" s="46"/>
      <c r="L441" s="42"/>
      <c r="M441" s="42"/>
      <c r="N441" s="50"/>
      <c r="O441" s="42"/>
      <c r="P441" s="42"/>
    </row>
    <row r="442" spans="4:16" s="3" customFormat="1" ht="21" customHeight="1">
      <c r="D442" s="16"/>
      <c r="E442" s="16"/>
      <c r="F442" s="9"/>
      <c r="G442" s="9"/>
      <c r="H442" s="9"/>
      <c r="I442" s="2"/>
      <c r="J442" s="2"/>
      <c r="K442" s="46"/>
      <c r="L442" s="42"/>
      <c r="M442" s="42"/>
      <c r="N442" s="50"/>
      <c r="O442" s="42"/>
      <c r="P442" s="42"/>
    </row>
    <row r="443" spans="4:16" s="3" customFormat="1" ht="21" customHeight="1">
      <c r="D443" s="16"/>
      <c r="E443" s="16"/>
      <c r="F443" s="9"/>
      <c r="G443" s="9"/>
      <c r="H443" s="9"/>
      <c r="I443" s="2"/>
      <c r="J443" s="2"/>
      <c r="K443" s="46"/>
      <c r="L443" s="42"/>
      <c r="M443" s="42"/>
      <c r="N443" s="50"/>
      <c r="O443" s="42"/>
      <c r="P443" s="42"/>
    </row>
    <row r="444" spans="4:16" s="3" customFormat="1" ht="21" customHeight="1">
      <c r="D444" s="16"/>
      <c r="E444" s="16"/>
      <c r="F444" s="9"/>
      <c r="G444" s="9"/>
      <c r="H444" s="9"/>
      <c r="I444" s="2"/>
      <c r="J444" s="2"/>
      <c r="K444" s="46"/>
      <c r="L444" s="42"/>
      <c r="M444" s="42"/>
      <c r="N444" s="50"/>
      <c r="O444" s="42"/>
      <c r="P444" s="42"/>
    </row>
    <row r="445" spans="4:16" s="3" customFormat="1" ht="21" customHeight="1">
      <c r="D445" s="16"/>
      <c r="E445" s="16"/>
      <c r="F445" s="9"/>
      <c r="G445" s="9"/>
      <c r="H445" s="9"/>
      <c r="I445" s="2"/>
      <c r="J445" s="2"/>
      <c r="K445" s="46"/>
      <c r="L445" s="42"/>
      <c r="M445" s="42"/>
      <c r="N445" s="50"/>
      <c r="O445" s="42"/>
      <c r="P445" s="42"/>
    </row>
    <row r="446" spans="4:16" s="3" customFormat="1" ht="21" customHeight="1">
      <c r="D446" s="16"/>
      <c r="E446" s="16"/>
      <c r="F446" s="9"/>
      <c r="G446" s="9"/>
      <c r="H446" s="9"/>
      <c r="I446" s="2"/>
      <c r="J446" s="2"/>
      <c r="K446" s="46"/>
      <c r="L446" s="42"/>
      <c r="M446" s="42"/>
      <c r="N446" s="50"/>
      <c r="O446" s="42"/>
      <c r="P446" s="42"/>
    </row>
    <row r="447" spans="4:16" s="3" customFormat="1" ht="21" customHeight="1">
      <c r="D447" s="16"/>
      <c r="E447" s="16"/>
      <c r="F447" s="9"/>
      <c r="G447" s="9"/>
      <c r="H447" s="9"/>
      <c r="I447" s="2"/>
      <c r="J447" s="2"/>
      <c r="K447" s="46"/>
      <c r="L447" s="42"/>
      <c r="M447" s="42"/>
      <c r="N447" s="50"/>
      <c r="O447" s="42"/>
      <c r="P447" s="42"/>
    </row>
    <row r="448" spans="4:16" s="3" customFormat="1" ht="21" customHeight="1">
      <c r="D448" s="16"/>
      <c r="E448" s="16"/>
      <c r="F448" s="9"/>
      <c r="G448" s="9"/>
      <c r="H448" s="9"/>
      <c r="I448" s="2"/>
      <c r="J448" s="2"/>
      <c r="K448" s="46"/>
      <c r="L448" s="42"/>
      <c r="M448" s="42"/>
      <c r="N448" s="50"/>
      <c r="O448" s="42"/>
      <c r="P448" s="42"/>
    </row>
    <row r="449" spans="4:16" s="3" customFormat="1" ht="21" customHeight="1">
      <c r="D449" s="16"/>
      <c r="E449" s="16"/>
      <c r="F449" s="9"/>
      <c r="G449" s="9"/>
      <c r="H449" s="9"/>
      <c r="I449" s="2"/>
      <c r="J449" s="2"/>
      <c r="K449" s="46"/>
      <c r="L449" s="42"/>
      <c r="M449" s="42"/>
      <c r="N449" s="50"/>
      <c r="O449" s="42"/>
      <c r="P449" s="42"/>
    </row>
    <row r="450" spans="4:16" s="3" customFormat="1" ht="21" customHeight="1">
      <c r="D450" s="16"/>
      <c r="E450" s="16"/>
      <c r="F450" s="9"/>
      <c r="G450" s="9"/>
      <c r="H450" s="9"/>
      <c r="I450" s="2"/>
      <c r="J450" s="2"/>
      <c r="K450" s="46"/>
      <c r="L450" s="42"/>
      <c r="M450" s="42"/>
      <c r="N450" s="50"/>
      <c r="O450" s="42"/>
      <c r="P450" s="42"/>
    </row>
    <row r="451" spans="4:16" s="3" customFormat="1" ht="21" customHeight="1">
      <c r="D451" s="16"/>
      <c r="E451" s="16"/>
      <c r="F451" s="9"/>
      <c r="G451" s="9"/>
      <c r="H451" s="9"/>
      <c r="I451" s="2"/>
      <c r="J451" s="2"/>
      <c r="K451" s="46"/>
      <c r="L451" s="42"/>
      <c r="M451" s="42"/>
      <c r="N451" s="50"/>
      <c r="O451" s="42"/>
      <c r="P451" s="42"/>
    </row>
    <row r="452" spans="4:16" s="3" customFormat="1" ht="21" customHeight="1">
      <c r="D452" s="16"/>
      <c r="E452" s="16"/>
      <c r="F452" s="9"/>
      <c r="G452" s="9"/>
      <c r="H452" s="9"/>
      <c r="I452" s="2"/>
      <c r="J452" s="2"/>
      <c r="K452" s="46"/>
      <c r="L452" s="42"/>
      <c r="M452" s="42"/>
      <c r="N452" s="50"/>
      <c r="O452" s="42"/>
      <c r="P452" s="42"/>
    </row>
    <row r="453" spans="4:16" s="3" customFormat="1" ht="21" customHeight="1">
      <c r="D453" s="16"/>
      <c r="E453" s="16"/>
      <c r="F453" s="9"/>
      <c r="G453" s="9"/>
      <c r="H453" s="9"/>
      <c r="I453" s="2"/>
      <c r="J453" s="2"/>
      <c r="K453" s="46"/>
      <c r="L453" s="42"/>
      <c r="M453" s="42"/>
      <c r="N453" s="50"/>
      <c r="O453" s="42"/>
      <c r="P453" s="42"/>
    </row>
    <row r="454" spans="4:16" s="3" customFormat="1" ht="21" customHeight="1">
      <c r="D454" s="16"/>
      <c r="E454" s="16"/>
      <c r="F454" s="9"/>
      <c r="G454" s="9"/>
      <c r="H454" s="9"/>
      <c r="I454" s="2"/>
      <c r="J454" s="2"/>
      <c r="K454" s="46"/>
      <c r="L454" s="42"/>
      <c r="M454" s="42"/>
      <c r="N454" s="50"/>
      <c r="O454" s="42"/>
      <c r="P454" s="42"/>
    </row>
    <row r="455" spans="4:16" s="3" customFormat="1" ht="21" customHeight="1">
      <c r="D455" s="16"/>
      <c r="E455" s="16"/>
      <c r="F455" s="9"/>
      <c r="G455" s="9"/>
      <c r="H455" s="9"/>
      <c r="I455" s="2"/>
      <c r="J455" s="2"/>
      <c r="K455" s="46"/>
      <c r="L455" s="42"/>
      <c r="M455" s="42"/>
      <c r="N455" s="50"/>
      <c r="O455" s="42"/>
      <c r="P455" s="42"/>
    </row>
    <row r="456" spans="4:16" s="3" customFormat="1" ht="21" customHeight="1">
      <c r="D456" s="16"/>
      <c r="E456" s="16"/>
      <c r="F456" s="9"/>
      <c r="G456" s="9"/>
      <c r="H456" s="9"/>
      <c r="I456" s="2"/>
      <c r="J456" s="2"/>
      <c r="K456" s="46"/>
      <c r="L456" s="42"/>
      <c r="M456" s="42"/>
      <c r="N456" s="50"/>
      <c r="O456" s="42"/>
      <c r="P456" s="42"/>
    </row>
    <row r="457" spans="4:16" s="3" customFormat="1" ht="21" customHeight="1">
      <c r="D457" s="16"/>
      <c r="E457" s="16"/>
      <c r="F457" s="9"/>
      <c r="G457" s="9"/>
      <c r="H457" s="9"/>
      <c r="I457" s="2"/>
      <c r="J457" s="2"/>
      <c r="K457" s="46"/>
      <c r="L457" s="42"/>
      <c r="M457" s="42"/>
      <c r="N457" s="50"/>
      <c r="O457" s="42"/>
      <c r="P457" s="42"/>
    </row>
    <row r="458" spans="4:16" s="3" customFormat="1" ht="21" customHeight="1">
      <c r="D458" s="16"/>
      <c r="E458" s="16"/>
      <c r="F458" s="9"/>
      <c r="G458" s="9"/>
      <c r="H458" s="9"/>
      <c r="I458" s="2"/>
      <c r="J458" s="2"/>
      <c r="K458" s="46"/>
      <c r="L458" s="42"/>
      <c r="M458" s="42"/>
      <c r="N458" s="50"/>
      <c r="O458" s="42"/>
      <c r="P458" s="42"/>
    </row>
    <row r="459" spans="4:16" s="3" customFormat="1" ht="21" customHeight="1">
      <c r="D459" s="16"/>
      <c r="E459" s="16"/>
      <c r="F459" s="9"/>
      <c r="G459" s="9"/>
      <c r="H459" s="9"/>
      <c r="I459" s="2"/>
      <c r="J459" s="2"/>
      <c r="K459" s="46"/>
      <c r="L459" s="42"/>
      <c r="M459" s="42"/>
      <c r="N459" s="50"/>
      <c r="O459" s="42"/>
      <c r="P459" s="42"/>
    </row>
    <row r="460" spans="4:16" s="3" customFormat="1" ht="21" customHeight="1">
      <c r="D460" s="16"/>
      <c r="E460" s="16"/>
      <c r="F460" s="9"/>
      <c r="G460" s="9"/>
      <c r="H460" s="9"/>
      <c r="I460" s="2"/>
      <c r="J460" s="2"/>
      <c r="K460" s="46"/>
      <c r="L460" s="42"/>
      <c r="M460" s="42"/>
      <c r="N460" s="50"/>
      <c r="O460" s="42"/>
      <c r="P460" s="42"/>
    </row>
    <row r="461" spans="4:16" s="3" customFormat="1" ht="21" customHeight="1">
      <c r="D461" s="16"/>
      <c r="E461" s="16"/>
      <c r="F461" s="9"/>
      <c r="G461" s="9"/>
      <c r="H461" s="9"/>
      <c r="I461" s="2"/>
      <c r="J461" s="2"/>
      <c r="K461" s="46"/>
      <c r="L461" s="42"/>
      <c r="M461" s="42"/>
      <c r="N461" s="50"/>
      <c r="O461" s="42"/>
      <c r="P461" s="42"/>
    </row>
    <row r="462" spans="4:16" s="3" customFormat="1" ht="21" customHeight="1">
      <c r="D462" s="16"/>
      <c r="E462" s="16"/>
      <c r="F462" s="9"/>
      <c r="G462" s="9"/>
      <c r="H462" s="9"/>
      <c r="I462" s="2"/>
      <c r="J462" s="2"/>
      <c r="K462" s="46"/>
      <c r="L462" s="42"/>
      <c r="M462" s="42"/>
      <c r="N462" s="50"/>
      <c r="O462" s="42"/>
      <c r="P462" s="42"/>
    </row>
    <row r="463" spans="4:16" s="3" customFormat="1" ht="21" customHeight="1">
      <c r="D463" s="16"/>
      <c r="E463" s="16"/>
      <c r="F463" s="9"/>
      <c r="G463" s="9"/>
      <c r="H463" s="9"/>
      <c r="I463" s="2"/>
      <c r="J463" s="2"/>
      <c r="K463" s="46"/>
      <c r="L463" s="42"/>
      <c r="M463" s="42"/>
      <c r="N463" s="50"/>
      <c r="O463" s="42"/>
      <c r="P463" s="42"/>
    </row>
    <row r="464" spans="4:16" s="3" customFormat="1" ht="21" customHeight="1">
      <c r="D464" s="16"/>
      <c r="E464" s="16"/>
      <c r="F464" s="9"/>
      <c r="G464" s="9"/>
      <c r="H464" s="9"/>
      <c r="I464" s="2"/>
      <c r="J464" s="2"/>
      <c r="K464" s="46"/>
      <c r="L464" s="42"/>
      <c r="M464" s="42"/>
      <c r="N464" s="50"/>
      <c r="O464" s="42"/>
      <c r="P464" s="42"/>
    </row>
    <row r="465" spans="4:16" s="3" customFormat="1" ht="21" customHeight="1">
      <c r="D465" s="16"/>
      <c r="E465" s="16"/>
      <c r="F465" s="9"/>
      <c r="G465" s="9"/>
      <c r="H465" s="9"/>
      <c r="I465" s="2"/>
      <c r="J465" s="2"/>
      <c r="K465" s="46"/>
      <c r="L465" s="42"/>
      <c r="M465" s="42"/>
      <c r="N465" s="50"/>
      <c r="O465" s="42"/>
      <c r="P465" s="42"/>
    </row>
    <row r="466" spans="4:16" s="3" customFormat="1" ht="21" customHeight="1">
      <c r="D466" s="16"/>
      <c r="E466" s="16"/>
      <c r="F466" s="9"/>
      <c r="G466" s="9"/>
      <c r="H466" s="9"/>
      <c r="I466" s="2"/>
      <c r="J466" s="2"/>
      <c r="K466" s="46"/>
      <c r="L466" s="42"/>
      <c r="M466" s="42"/>
      <c r="N466" s="50"/>
      <c r="O466" s="42"/>
      <c r="P466" s="42"/>
    </row>
    <row r="467" spans="4:16" s="3" customFormat="1" ht="21" customHeight="1">
      <c r="D467" s="16"/>
      <c r="E467" s="16"/>
      <c r="F467" s="9"/>
      <c r="G467" s="9"/>
      <c r="H467" s="9"/>
      <c r="I467" s="2"/>
      <c r="J467" s="2"/>
      <c r="K467" s="46"/>
      <c r="L467" s="42"/>
      <c r="M467" s="42"/>
      <c r="N467" s="50"/>
      <c r="O467" s="42"/>
      <c r="P467" s="42"/>
    </row>
    <row r="468" spans="4:16" s="3" customFormat="1" ht="21" customHeight="1">
      <c r="D468" s="16"/>
      <c r="E468" s="16"/>
      <c r="F468" s="9"/>
      <c r="G468" s="9"/>
      <c r="H468" s="9"/>
      <c r="I468" s="2"/>
      <c r="J468" s="2"/>
      <c r="K468" s="46"/>
      <c r="L468" s="42"/>
      <c r="M468" s="42"/>
      <c r="N468" s="50"/>
      <c r="O468" s="42"/>
      <c r="P468" s="42"/>
    </row>
    <row r="469" spans="4:16" s="3" customFormat="1" ht="21" customHeight="1">
      <c r="D469" s="16"/>
      <c r="E469" s="16"/>
      <c r="F469" s="9"/>
      <c r="G469" s="9"/>
      <c r="H469" s="9"/>
      <c r="I469" s="2"/>
      <c r="J469" s="2"/>
      <c r="K469" s="46"/>
      <c r="L469" s="42"/>
      <c r="M469" s="42"/>
      <c r="N469" s="50"/>
      <c r="O469" s="42"/>
      <c r="P469" s="42"/>
    </row>
    <row r="470" spans="4:16" s="3" customFormat="1" ht="21" customHeight="1">
      <c r="D470" s="16"/>
      <c r="E470" s="16"/>
      <c r="F470" s="9"/>
      <c r="G470" s="9"/>
      <c r="H470" s="9"/>
      <c r="I470" s="2"/>
      <c r="J470" s="2"/>
      <c r="K470" s="46"/>
      <c r="L470" s="42"/>
      <c r="M470" s="42"/>
      <c r="N470" s="50"/>
      <c r="O470" s="42"/>
      <c r="P470" s="42"/>
    </row>
    <row r="471" spans="4:16" s="3" customFormat="1" ht="21" customHeight="1">
      <c r="D471" s="16"/>
      <c r="E471" s="16"/>
      <c r="F471" s="9"/>
      <c r="G471" s="9"/>
      <c r="H471" s="9"/>
      <c r="I471" s="2"/>
      <c r="J471" s="2"/>
      <c r="K471" s="46"/>
      <c r="L471" s="42"/>
      <c r="M471" s="42"/>
      <c r="N471" s="50"/>
      <c r="O471" s="42"/>
      <c r="P471" s="42"/>
    </row>
    <row r="472" spans="4:16" s="3" customFormat="1" ht="21" customHeight="1">
      <c r="D472" s="16"/>
      <c r="E472" s="16"/>
      <c r="F472" s="9"/>
      <c r="G472" s="9"/>
      <c r="H472" s="9"/>
      <c r="I472" s="2"/>
      <c r="J472" s="2"/>
      <c r="K472" s="46"/>
      <c r="L472" s="42"/>
      <c r="M472" s="42"/>
      <c r="N472" s="50"/>
      <c r="O472" s="42"/>
      <c r="P472" s="42"/>
    </row>
    <row r="473" spans="4:16" s="3" customFormat="1" ht="21" customHeight="1">
      <c r="D473" s="16"/>
      <c r="E473" s="16"/>
      <c r="F473" s="9"/>
      <c r="G473" s="9"/>
      <c r="H473" s="9"/>
      <c r="I473" s="2"/>
      <c r="J473" s="2"/>
      <c r="K473" s="46"/>
      <c r="L473" s="42"/>
      <c r="M473" s="42"/>
      <c r="N473" s="50"/>
      <c r="O473" s="42"/>
      <c r="P473" s="42"/>
    </row>
    <row r="474" spans="4:16" s="3" customFormat="1" ht="21" customHeight="1">
      <c r="D474" s="16"/>
      <c r="E474" s="16"/>
      <c r="F474" s="9"/>
      <c r="G474" s="9"/>
      <c r="H474" s="9"/>
      <c r="I474" s="2"/>
      <c r="J474" s="2"/>
      <c r="K474" s="46"/>
      <c r="L474" s="42"/>
      <c r="M474" s="42"/>
      <c r="N474" s="50"/>
      <c r="O474" s="42"/>
      <c r="P474" s="42"/>
    </row>
    <row r="475" spans="4:16" s="3" customFormat="1" ht="21" customHeight="1">
      <c r="D475" s="16"/>
      <c r="E475" s="16"/>
      <c r="F475" s="9"/>
      <c r="G475" s="9"/>
      <c r="H475" s="9"/>
      <c r="I475" s="2"/>
      <c r="J475" s="2"/>
      <c r="K475" s="34"/>
      <c r="L475" s="8"/>
      <c r="M475" s="8"/>
      <c r="N475" s="41"/>
      <c r="O475" s="8"/>
      <c r="P475" s="8"/>
    </row>
    <row r="476" spans="4:16" s="3" customFormat="1" ht="21" customHeight="1">
      <c r="D476" s="16"/>
      <c r="E476" s="16"/>
      <c r="F476" s="9"/>
      <c r="G476" s="9"/>
      <c r="H476" s="9"/>
      <c r="I476" s="2"/>
      <c r="J476" s="2"/>
      <c r="K476" s="34"/>
      <c r="L476" s="8"/>
      <c r="M476" s="8"/>
      <c r="N476" s="41"/>
      <c r="O476" s="8"/>
      <c r="P476" s="8"/>
    </row>
    <row r="477" spans="4:16" s="3" customFormat="1" ht="21" customHeight="1">
      <c r="D477" s="16"/>
      <c r="E477" s="16"/>
      <c r="F477" s="9"/>
      <c r="G477" s="9"/>
      <c r="H477" s="9"/>
      <c r="I477" s="2"/>
      <c r="J477" s="2"/>
      <c r="K477" s="34"/>
      <c r="L477" s="8"/>
      <c r="M477" s="8"/>
      <c r="N477" s="41"/>
      <c r="O477" s="8"/>
      <c r="P477" s="8"/>
    </row>
    <row r="478" spans="4:16" s="3" customFormat="1" ht="21" customHeight="1">
      <c r="D478" s="16"/>
      <c r="E478" s="16"/>
      <c r="F478" s="9"/>
      <c r="G478" s="9"/>
      <c r="H478" s="9"/>
      <c r="I478" s="2"/>
      <c r="J478" s="2"/>
      <c r="K478" s="34"/>
      <c r="L478" s="8"/>
      <c r="M478" s="8"/>
      <c r="N478" s="41"/>
      <c r="O478" s="8"/>
      <c r="P478" s="8"/>
    </row>
    <row r="479" spans="4:16" s="3" customFormat="1" ht="21" customHeight="1">
      <c r="D479" s="16"/>
      <c r="E479" s="16"/>
      <c r="F479" s="9"/>
      <c r="G479" s="9"/>
      <c r="H479" s="9"/>
      <c r="I479" s="2"/>
      <c r="J479" s="2"/>
      <c r="K479" s="34"/>
      <c r="L479" s="8"/>
      <c r="M479" s="8"/>
      <c r="N479" s="41"/>
      <c r="O479" s="8"/>
      <c r="P479" s="8"/>
    </row>
    <row r="480" spans="4:16" s="3" customFormat="1" ht="21" customHeight="1">
      <c r="D480" s="16"/>
      <c r="E480" s="16"/>
      <c r="F480" s="9"/>
      <c r="G480" s="9"/>
      <c r="H480" s="9"/>
      <c r="I480" s="2"/>
      <c r="J480" s="2"/>
      <c r="K480" s="34"/>
      <c r="L480" s="8"/>
      <c r="M480" s="8"/>
      <c r="N480" s="41"/>
      <c r="O480" s="8"/>
      <c r="P480" s="8"/>
    </row>
    <row r="481" spans="4:16" s="3" customFormat="1" ht="21" customHeight="1">
      <c r="D481" s="16"/>
      <c r="E481" s="16"/>
      <c r="F481" s="9"/>
      <c r="G481" s="9"/>
      <c r="H481" s="9"/>
      <c r="I481" s="2"/>
      <c r="J481" s="2"/>
      <c r="K481" s="34"/>
      <c r="L481" s="8"/>
      <c r="M481" s="8"/>
      <c r="N481" s="41"/>
      <c r="O481" s="8"/>
      <c r="P481" s="8"/>
    </row>
    <row r="482" spans="4:16" s="3" customFormat="1" ht="21" customHeight="1">
      <c r="D482" s="16"/>
      <c r="E482" s="16"/>
      <c r="F482" s="9"/>
      <c r="G482" s="9"/>
      <c r="H482" s="9"/>
      <c r="I482" s="2"/>
      <c r="J482" s="2"/>
      <c r="K482" s="34"/>
      <c r="L482" s="8"/>
      <c r="M482" s="8"/>
      <c r="N482" s="41"/>
      <c r="O482" s="8"/>
      <c r="P482" s="8"/>
    </row>
    <row r="483" spans="4:16" s="3" customFormat="1" ht="21" customHeight="1">
      <c r="D483" s="16"/>
      <c r="E483" s="16"/>
      <c r="F483" s="9"/>
      <c r="G483" s="9"/>
      <c r="H483" s="9"/>
      <c r="I483" s="2"/>
      <c r="J483" s="2"/>
      <c r="K483" s="34"/>
      <c r="L483" s="8"/>
      <c r="M483" s="8"/>
      <c r="N483" s="41"/>
      <c r="O483" s="8"/>
      <c r="P483" s="8"/>
    </row>
    <row r="484" spans="4:16" s="3" customFormat="1" ht="21" customHeight="1">
      <c r="D484" s="16"/>
      <c r="E484" s="16"/>
      <c r="F484" s="9"/>
      <c r="G484" s="9"/>
      <c r="H484" s="9"/>
      <c r="I484" s="2"/>
      <c r="J484" s="2"/>
      <c r="K484" s="34"/>
      <c r="L484" s="8"/>
      <c r="M484" s="8"/>
      <c r="N484" s="41"/>
      <c r="O484" s="8"/>
      <c r="P484" s="8"/>
    </row>
    <row r="485" spans="4:16" s="3" customFormat="1" ht="21" customHeight="1">
      <c r="D485" s="16"/>
      <c r="E485" s="16"/>
      <c r="F485" s="9"/>
      <c r="G485" s="9"/>
      <c r="H485" s="9"/>
      <c r="I485" s="2"/>
      <c r="J485" s="2"/>
      <c r="K485" s="34"/>
      <c r="L485" s="8"/>
      <c r="M485" s="8"/>
      <c r="N485" s="41"/>
      <c r="O485" s="8"/>
      <c r="P485" s="8"/>
    </row>
    <row r="486" spans="4:16" s="3" customFormat="1" ht="21" customHeight="1">
      <c r="D486" s="16"/>
      <c r="E486" s="16"/>
      <c r="F486" s="9"/>
      <c r="G486" s="9"/>
      <c r="H486" s="9"/>
      <c r="I486" s="2"/>
      <c r="J486" s="2"/>
      <c r="K486" s="34"/>
      <c r="L486" s="8"/>
      <c r="M486" s="8"/>
      <c r="N486" s="41"/>
      <c r="O486" s="8"/>
      <c r="P486" s="8"/>
    </row>
    <row r="487" spans="4:16" s="3" customFormat="1" ht="21" customHeight="1">
      <c r="D487" s="16"/>
      <c r="E487" s="16"/>
      <c r="F487" s="9"/>
      <c r="G487" s="9"/>
      <c r="H487" s="9"/>
      <c r="I487" s="2"/>
      <c r="J487" s="2"/>
      <c r="K487" s="34"/>
      <c r="L487" s="8"/>
      <c r="M487" s="8"/>
      <c r="N487" s="41"/>
      <c r="O487" s="8"/>
      <c r="P487" s="8"/>
    </row>
    <row r="488" spans="4:16" s="3" customFormat="1" ht="21" customHeight="1">
      <c r="D488" s="16"/>
      <c r="E488" s="16"/>
      <c r="F488" s="9"/>
      <c r="G488" s="9"/>
      <c r="H488" s="9"/>
      <c r="I488" s="2"/>
      <c r="J488" s="2"/>
      <c r="K488" s="34"/>
      <c r="L488" s="8"/>
      <c r="M488" s="8"/>
      <c r="N488" s="41"/>
      <c r="O488" s="8"/>
      <c r="P488" s="8"/>
    </row>
    <row r="489" spans="4:16" s="3" customFormat="1" ht="21" customHeight="1">
      <c r="D489" s="16"/>
      <c r="E489" s="16"/>
      <c r="F489" s="9"/>
      <c r="G489" s="9"/>
      <c r="H489" s="9"/>
      <c r="I489" s="2"/>
      <c r="J489" s="2"/>
      <c r="K489" s="34"/>
      <c r="L489" s="8"/>
      <c r="M489" s="8"/>
      <c r="N489" s="41"/>
      <c r="O489" s="8"/>
      <c r="P489" s="8"/>
    </row>
    <row r="490" spans="4:16" s="3" customFormat="1" ht="21" customHeight="1">
      <c r="D490" s="16"/>
      <c r="E490" s="16"/>
      <c r="F490" s="9"/>
      <c r="G490" s="9"/>
      <c r="H490" s="9"/>
    </row>
    <row r="491" spans="4:16" s="3" customFormat="1" ht="21" customHeight="1">
      <c r="D491" s="16"/>
      <c r="E491" s="16"/>
      <c r="F491" s="9"/>
      <c r="G491" s="9"/>
      <c r="H491" s="9"/>
    </row>
    <row r="492" spans="4:16" s="3" customFormat="1" ht="21" customHeight="1">
      <c r="D492" s="16"/>
      <c r="E492" s="16"/>
      <c r="F492" s="9"/>
      <c r="G492" s="9"/>
      <c r="H492" s="9"/>
    </row>
    <row r="493" spans="4:16" s="3" customFormat="1" ht="21" customHeight="1">
      <c r="D493" s="16"/>
      <c r="E493" s="16"/>
      <c r="F493" s="9"/>
      <c r="G493" s="9"/>
      <c r="H493" s="9"/>
    </row>
    <row r="494" spans="4:16" s="3" customFormat="1" ht="21" customHeight="1">
      <c r="D494" s="16"/>
      <c r="E494" s="16"/>
      <c r="F494" s="9"/>
      <c r="G494" s="9"/>
      <c r="H494" s="9"/>
    </row>
    <row r="495" spans="4:16" s="3" customFormat="1" ht="21" customHeight="1">
      <c r="D495" s="16"/>
      <c r="E495" s="16"/>
      <c r="F495" s="9"/>
      <c r="G495" s="9"/>
      <c r="H495" s="9"/>
    </row>
    <row r="496" spans="4:16" s="3" customFormat="1" ht="21" customHeight="1">
      <c r="D496" s="16"/>
      <c r="E496" s="16"/>
      <c r="F496" s="9"/>
      <c r="G496" s="9"/>
      <c r="H496" s="9"/>
    </row>
    <row r="497" spans="4:8" s="3" customFormat="1" ht="21" customHeight="1">
      <c r="D497" s="16"/>
      <c r="E497" s="16"/>
      <c r="F497" s="9"/>
      <c r="G497" s="9"/>
      <c r="H497" s="9"/>
    </row>
    <row r="498" spans="4:8" s="3" customFormat="1" ht="21" customHeight="1">
      <c r="D498" s="16"/>
      <c r="E498" s="16"/>
      <c r="F498" s="9"/>
      <c r="G498" s="9"/>
      <c r="H498" s="9"/>
    </row>
    <row r="499" spans="4:8" s="3" customFormat="1" ht="21" customHeight="1">
      <c r="D499" s="16"/>
      <c r="E499" s="16"/>
      <c r="F499" s="9"/>
      <c r="G499" s="9"/>
      <c r="H499" s="9"/>
    </row>
    <row r="500" spans="4:8" s="3" customFormat="1" ht="21" customHeight="1">
      <c r="D500" s="16"/>
      <c r="E500" s="16"/>
      <c r="F500" s="9"/>
      <c r="G500" s="9"/>
      <c r="H500" s="9"/>
    </row>
    <row r="501" spans="4:8" s="3" customFormat="1" ht="21" customHeight="1">
      <c r="D501" s="16"/>
      <c r="E501" s="16"/>
      <c r="F501" s="9"/>
      <c r="G501" s="9"/>
      <c r="H501" s="9"/>
    </row>
    <row r="502" spans="4:8" s="3" customFormat="1" ht="21" customHeight="1">
      <c r="D502" s="16"/>
      <c r="E502" s="16"/>
      <c r="F502" s="9"/>
      <c r="G502" s="9"/>
      <c r="H502" s="9"/>
    </row>
    <row r="503" spans="4:8" s="3" customFormat="1" ht="21" customHeight="1">
      <c r="D503" s="16"/>
      <c r="E503" s="16"/>
      <c r="F503" s="9"/>
      <c r="G503" s="9"/>
      <c r="H503" s="9"/>
    </row>
    <row r="504" spans="4:8" s="3" customFormat="1" ht="21" customHeight="1">
      <c r="D504" s="16"/>
      <c r="E504" s="16"/>
      <c r="F504" s="9"/>
      <c r="G504" s="9"/>
      <c r="H504" s="9"/>
    </row>
    <row r="505" spans="4:8" s="3" customFormat="1" ht="21" customHeight="1">
      <c r="D505" s="16"/>
      <c r="E505" s="16"/>
      <c r="F505" s="9"/>
      <c r="G505" s="9"/>
      <c r="H505" s="9"/>
    </row>
    <row r="506" spans="4:8" s="3" customFormat="1" ht="21" customHeight="1">
      <c r="D506" s="16"/>
      <c r="E506" s="16"/>
      <c r="F506" s="9"/>
      <c r="G506" s="9"/>
      <c r="H506" s="9"/>
    </row>
    <row r="507" spans="4:8" s="3" customFormat="1" ht="21" customHeight="1">
      <c r="D507" s="16"/>
      <c r="E507" s="16"/>
      <c r="F507" s="9"/>
      <c r="G507" s="9"/>
      <c r="H507" s="9"/>
    </row>
    <row r="508" spans="4:8" s="3" customFormat="1" ht="21" customHeight="1">
      <c r="D508" s="16"/>
      <c r="E508" s="16"/>
      <c r="F508" s="9"/>
      <c r="G508" s="9"/>
      <c r="H508" s="9"/>
    </row>
    <row r="509" spans="4:8" s="3" customFormat="1" ht="21" customHeight="1">
      <c r="D509" s="16"/>
      <c r="E509" s="16"/>
      <c r="F509" s="9"/>
      <c r="G509" s="9"/>
      <c r="H509" s="9"/>
    </row>
    <row r="510" spans="4:8" s="3" customFormat="1" ht="21" customHeight="1">
      <c r="D510" s="16"/>
      <c r="E510" s="16"/>
      <c r="F510" s="9"/>
      <c r="G510" s="9"/>
      <c r="H510" s="9"/>
    </row>
    <row r="511" spans="4:8" s="3" customFormat="1" ht="21" customHeight="1">
      <c r="D511" s="16"/>
      <c r="E511" s="16"/>
      <c r="F511" s="9"/>
      <c r="G511" s="9"/>
      <c r="H511" s="9"/>
    </row>
    <row r="512" spans="4:8" s="3" customFormat="1" ht="21" customHeight="1">
      <c r="D512" s="16"/>
      <c r="E512" s="16"/>
      <c r="F512" s="9"/>
      <c r="G512" s="9"/>
      <c r="H512" s="9"/>
    </row>
    <row r="513" spans="4:8" s="3" customFormat="1" ht="21" customHeight="1">
      <c r="D513" s="16"/>
      <c r="E513" s="16"/>
      <c r="F513" s="9"/>
      <c r="G513" s="9"/>
      <c r="H513" s="9"/>
    </row>
    <row r="514" spans="4:8" s="3" customFormat="1" ht="21" customHeight="1">
      <c r="D514" s="16"/>
      <c r="E514" s="16"/>
      <c r="F514" s="9"/>
      <c r="G514" s="9"/>
      <c r="H514" s="9"/>
    </row>
    <row r="515" spans="4:8" s="3" customFormat="1" ht="21" customHeight="1">
      <c r="D515" s="16"/>
      <c r="E515" s="16"/>
      <c r="F515" s="9"/>
      <c r="G515" s="9"/>
      <c r="H515" s="9"/>
    </row>
    <row r="516" spans="4:8" s="3" customFormat="1" ht="21" customHeight="1">
      <c r="D516" s="16"/>
      <c r="E516" s="16"/>
      <c r="F516" s="9"/>
      <c r="G516" s="9"/>
      <c r="H516" s="9"/>
    </row>
    <row r="517" spans="4:8" s="3" customFormat="1" ht="21" customHeight="1">
      <c r="D517" s="16"/>
      <c r="E517" s="16"/>
      <c r="F517" s="9"/>
      <c r="G517" s="9"/>
      <c r="H517" s="9"/>
    </row>
    <row r="518" spans="4:8" s="3" customFormat="1" ht="21" customHeight="1">
      <c r="D518" s="16"/>
      <c r="E518" s="16"/>
      <c r="F518" s="9"/>
      <c r="G518" s="9"/>
      <c r="H518" s="9"/>
    </row>
    <row r="519" spans="4:8" s="3" customFormat="1" ht="21" customHeight="1">
      <c r="D519" s="16"/>
      <c r="E519" s="16"/>
      <c r="F519" s="9"/>
      <c r="G519" s="9"/>
      <c r="H519" s="9"/>
    </row>
    <row r="520" spans="4:8" s="3" customFormat="1" ht="21" customHeight="1">
      <c r="D520" s="16"/>
      <c r="E520" s="16"/>
      <c r="F520" s="9"/>
      <c r="G520" s="9"/>
      <c r="H520" s="9"/>
    </row>
    <row r="521" spans="4:8" s="3" customFormat="1" ht="21" customHeight="1">
      <c r="D521" s="16"/>
      <c r="E521" s="16"/>
      <c r="F521" s="9"/>
      <c r="G521" s="9"/>
      <c r="H521" s="9"/>
    </row>
    <row r="522" spans="4:8" s="3" customFormat="1" ht="21" customHeight="1">
      <c r="D522" s="16"/>
      <c r="E522" s="16"/>
      <c r="F522" s="9"/>
      <c r="G522" s="9"/>
      <c r="H522" s="9"/>
    </row>
    <row r="523" spans="4:8" s="3" customFormat="1" ht="21" customHeight="1">
      <c r="D523" s="16"/>
      <c r="E523" s="16"/>
      <c r="F523" s="9"/>
      <c r="G523" s="9"/>
      <c r="H523" s="9"/>
    </row>
    <row r="524" spans="4:8" s="3" customFormat="1" ht="21" customHeight="1">
      <c r="D524" s="16"/>
      <c r="E524" s="16"/>
      <c r="F524" s="9"/>
      <c r="G524" s="9"/>
      <c r="H524" s="9"/>
    </row>
    <row r="525" spans="4:8" s="3" customFormat="1" ht="21" customHeight="1">
      <c r="D525" s="16"/>
      <c r="E525" s="16"/>
      <c r="F525" s="9"/>
      <c r="G525" s="9"/>
      <c r="H525" s="9"/>
    </row>
    <row r="526" spans="4:8" s="3" customFormat="1" ht="21" customHeight="1">
      <c r="D526" s="16"/>
      <c r="E526" s="16"/>
      <c r="F526" s="9"/>
      <c r="G526" s="9"/>
      <c r="H526" s="9"/>
    </row>
    <row r="527" spans="4:8" s="3" customFormat="1" ht="21" customHeight="1">
      <c r="D527" s="16"/>
      <c r="E527" s="16"/>
      <c r="F527" s="9"/>
      <c r="G527" s="9"/>
      <c r="H527" s="9"/>
    </row>
    <row r="528" spans="4:8" s="3" customFormat="1" ht="21" customHeight="1">
      <c r="D528" s="16"/>
      <c r="E528" s="16"/>
      <c r="F528" s="9"/>
      <c r="G528" s="9"/>
      <c r="H528" s="9"/>
    </row>
    <row r="529" spans="4:8" s="3" customFormat="1" ht="21" customHeight="1">
      <c r="D529" s="16"/>
      <c r="E529" s="16"/>
      <c r="F529" s="9"/>
      <c r="G529" s="9"/>
      <c r="H529" s="9"/>
    </row>
    <row r="530" spans="4:8" s="3" customFormat="1" ht="21" customHeight="1">
      <c r="D530" s="16"/>
      <c r="E530" s="16"/>
      <c r="F530" s="9"/>
      <c r="G530" s="9"/>
      <c r="H530" s="9"/>
    </row>
    <row r="531" spans="4:8" s="3" customFormat="1" ht="21" customHeight="1">
      <c r="D531" s="16"/>
      <c r="E531" s="16"/>
      <c r="F531" s="9"/>
      <c r="G531" s="9"/>
      <c r="H531" s="9"/>
    </row>
    <row r="532" spans="4:8" s="3" customFormat="1" ht="21" customHeight="1">
      <c r="D532" s="16"/>
      <c r="E532" s="16"/>
      <c r="F532" s="9"/>
      <c r="G532" s="9"/>
      <c r="H532" s="9"/>
    </row>
    <row r="533" spans="4:8" s="3" customFormat="1" ht="21" customHeight="1">
      <c r="D533" s="16"/>
      <c r="E533" s="16"/>
      <c r="F533" s="9"/>
      <c r="G533" s="9"/>
      <c r="H533" s="9"/>
    </row>
    <row r="534" spans="4:8" s="3" customFormat="1" ht="21" customHeight="1">
      <c r="D534" s="16"/>
      <c r="E534" s="16"/>
      <c r="F534" s="9"/>
      <c r="G534" s="9"/>
      <c r="H534" s="9"/>
    </row>
    <row r="535" spans="4:8" s="3" customFormat="1" ht="21" customHeight="1">
      <c r="D535" s="16"/>
      <c r="E535" s="16"/>
      <c r="F535" s="9"/>
      <c r="G535" s="9"/>
      <c r="H535" s="9"/>
    </row>
    <row r="536" spans="4:8" s="3" customFormat="1" ht="21" customHeight="1">
      <c r="D536" s="16"/>
      <c r="E536" s="16"/>
      <c r="F536" s="9"/>
      <c r="G536" s="9"/>
      <c r="H536" s="9"/>
    </row>
    <row r="537" spans="4:8" s="3" customFormat="1" ht="21" customHeight="1">
      <c r="D537" s="16"/>
      <c r="E537" s="16"/>
      <c r="F537" s="9"/>
      <c r="G537" s="9"/>
      <c r="H537" s="9"/>
    </row>
    <row r="538" spans="4:8" s="3" customFormat="1" ht="21" customHeight="1">
      <c r="D538" s="16"/>
      <c r="E538" s="16"/>
      <c r="F538" s="9"/>
      <c r="G538" s="9"/>
      <c r="H538" s="9"/>
    </row>
    <row r="539" spans="4:8" s="3" customFormat="1" ht="21" customHeight="1">
      <c r="D539" s="16"/>
      <c r="E539" s="16"/>
      <c r="F539" s="9"/>
      <c r="G539" s="9"/>
      <c r="H539" s="9"/>
    </row>
    <row r="540" spans="4:8" s="3" customFormat="1" ht="21" customHeight="1">
      <c r="D540" s="16"/>
      <c r="E540" s="16"/>
      <c r="F540" s="9"/>
      <c r="G540" s="9"/>
      <c r="H540" s="9"/>
    </row>
    <row r="541" spans="4:8" s="3" customFormat="1" ht="21" customHeight="1">
      <c r="D541" s="16"/>
      <c r="E541" s="16"/>
      <c r="F541" s="9"/>
      <c r="G541" s="9"/>
      <c r="H541" s="9"/>
    </row>
    <row r="542" spans="4:8" s="3" customFormat="1" ht="21" customHeight="1">
      <c r="D542" s="16"/>
      <c r="E542" s="16"/>
      <c r="F542" s="9"/>
      <c r="G542" s="9"/>
      <c r="H542" s="9"/>
    </row>
    <row r="543" spans="4:8" s="3" customFormat="1" ht="21" customHeight="1">
      <c r="D543" s="16"/>
      <c r="E543" s="16"/>
      <c r="F543" s="9"/>
      <c r="G543" s="9"/>
      <c r="H543" s="9"/>
    </row>
    <row r="544" spans="4:8" s="3" customFormat="1" ht="21" customHeight="1">
      <c r="D544" s="16"/>
      <c r="E544" s="16"/>
      <c r="F544" s="9"/>
      <c r="G544" s="9"/>
      <c r="H544" s="9"/>
    </row>
    <row r="545" spans="4:8" s="3" customFormat="1" ht="21" customHeight="1">
      <c r="D545" s="16"/>
      <c r="E545" s="16"/>
      <c r="F545" s="9"/>
      <c r="G545" s="9"/>
      <c r="H545" s="9"/>
    </row>
    <row r="546" spans="4:8" s="3" customFormat="1" ht="21" customHeight="1">
      <c r="D546" s="16"/>
      <c r="E546" s="16"/>
      <c r="F546" s="9"/>
      <c r="G546" s="9"/>
      <c r="H546" s="9"/>
    </row>
    <row r="547" spans="4:8" s="3" customFormat="1" ht="21" customHeight="1">
      <c r="D547" s="16"/>
      <c r="E547" s="16"/>
      <c r="F547" s="9"/>
      <c r="G547" s="9"/>
      <c r="H547" s="9"/>
    </row>
    <row r="548" spans="4:8" s="3" customFormat="1" ht="21" customHeight="1">
      <c r="D548" s="16"/>
      <c r="E548" s="16"/>
      <c r="F548" s="9"/>
      <c r="G548" s="9"/>
      <c r="H548" s="9"/>
    </row>
    <row r="549" spans="4:8" s="3" customFormat="1" ht="21" customHeight="1">
      <c r="D549" s="16"/>
      <c r="E549" s="16"/>
      <c r="F549" s="9"/>
      <c r="G549" s="9"/>
      <c r="H549" s="9"/>
    </row>
    <row r="550" spans="4:8" s="3" customFormat="1" ht="21" customHeight="1">
      <c r="D550" s="16"/>
      <c r="E550" s="16"/>
      <c r="F550" s="9"/>
      <c r="G550" s="9"/>
      <c r="H550" s="9"/>
    </row>
    <row r="551" spans="4:8" s="3" customFormat="1" ht="21" customHeight="1">
      <c r="D551" s="16"/>
      <c r="E551" s="16"/>
      <c r="F551" s="9"/>
      <c r="G551" s="9"/>
      <c r="H551" s="9"/>
    </row>
    <row r="552" spans="4:8" s="3" customFormat="1" ht="21" customHeight="1">
      <c r="D552" s="16"/>
      <c r="E552" s="16"/>
      <c r="F552" s="9"/>
      <c r="G552" s="9"/>
      <c r="H552" s="9"/>
    </row>
    <row r="553" spans="4:8" s="3" customFormat="1" ht="21" customHeight="1">
      <c r="D553" s="16"/>
      <c r="E553" s="16"/>
      <c r="F553" s="9"/>
      <c r="G553" s="9"/>
      <c r="H553" s="9"/>
    </row>
    <row r="554" spans="4:8" s="3" customFormat="1" ht="21" customHeight="1">
      <c r="D554" s="16"/>
      <c r="E554" s="16"/>
      <c r="F554" s="9"/>
      <c r="G554" s="9"/>
      <c r="H554" s="9"/>
    </row>
    <row r="555" spans="4:8" s="3" customFormat="1" ht="21" customHeight="1">
      <c r="D555" s="16"/>
      <c r="E555" s="16"/>
      <c r="F555" s="9"/>
      <c r="G555" s="9"/>
      <c r="H555" s="9"/>
    </row>
    <row r="556" spans="4:8" s="3" customFormat="1" ht="21" customHeight="1">
      <c r="D556" s="16"/>
      <c r="E556" s="16"/>
      <c r="F556" s="9"/>
      <c r="G556" s="9"/>
      <c r="H556" s="9"/>
    </row>
    <row r="557" spans="4:8" s="3" customFormat="1" ht="21" customHeight="1">
      <c r="D557" s="16"/>
      <c r="E557" s="16"/>
      <c r="F557" s="9"/>
      <c r="G557" s="9"/>
      <c r="H557" s="9"/>
    </row>
    <row r="558" spans="4:8" s="3" customFormat="1" ht="21" customHeight="1">
      <c r="D558" s="16"/>
      <c r="E558" s="16"/>
      <c r="F558" s="9"/>
      <c r="G558" s="9"/>
      <c r="H558" s="9"/>
    </row>
    <row r="559" spans="4:8" s="3" customFormat="1" ht="21" customHeight="1">
      <c r="D559" s="16"/>
      <c r="E559" s="16"/>
      <c r="F559" s="9"/>
      <c r="G559" s="9"/>
      <c r="H559" s="9"/>
    </row>
    <row r="560" spans="4:8" s="3" customFormat="1" ht="21" customHeight="1">
      <c r="D560" s="16"/>
      <c r="E560" s="16"/>
      <c r="F560" s="9"/>
      <c r="G560" s="9"/>
      <c r="H560" s="9"/>
    </row>
    <row r="561" spans="4:8" s="3" customFormat="1" ht="21" customHeight="1">
      <c r="D561" s="16"/>
      <c r="E561" s="16"/>
      <c r="F561" s="9"/>
      <c r="G561" s="9"/>
      <c r="H561" s="9"/>
    </row>
    <row r="562" spans="4:8" s="3" customFormat="1" ht="21" customHeight="1">
      <c r="D562" s="16"/>
      <c r="E562" s="16"/>
      <c r="F562" s="9"/>
      <c r="G562" s="9"/>
      <c r="H562" s="9"/>
    </row>
    <row r="563" spans="4:8" s="3" customFormat="1" ht="21" customHeight="1">
      <c r="D563" s="16"/>
      <c r="E563" s="16"/>
      <c r="F563" s="9"/>
      <c r="G563" s="9"/>
      <c r="H563" s="9"/>
    </row>
    <row r="564" spans="4:8" s="3" customFormat="1" ht="21" customHeight="1">
      <c r="D564" s="16"/>
      <c r="E564" s="16"/>
      <c r="F564" s="9"/>
      <c r="G564" s="9"/>
      <c r="H564" s="9"/>
    </row>
    <row r="565" spans="4:8" s="3" customFormat="1" ht="21" customHeight="1">
      <c r="D565" s="16"/>
      <c r="E565" s="16"/>
      <c r="F565" s="9"/>
      <c r="G565" s="9"/>
      <c r="H565" s="9"/>
    </row>
    <row r="566" spans="4:8" s="3" customFormat="1" ht="21" customHeight="1">
      <c r="D566" s="16"/>
      <c r="E566" s="16"/>
      <c r="F566" s="9"/>
      <c r="G566" s="9"/>
      <c r="H566" s="9"/>
    </row>
    <row r="567" spans="4:8" s="3" customFormat="1" ht="21" customHeight="1">
      <c r="D567" s="16"/>
      <c r="E567" s="16"/>
      <c r="F567" s="9"/>
      <c r="G567" s="9"/>
      <c r="H567" s="9"/>
    </row>
    <row r="568" spans="4:8" s="3" customFormat="1" ht="21" customHeight="1">
      <c r="D568" s="16"/>
      <c r="E568" s="16"/>
      <c r="F568" s="9"/>
      <c r="G568" s="9"/>
      <c r="H568" s="9"/>
    </row>
    <row r="569" spans="4:8" s="3" customFormat="1" ht="21" customHeight="1">
      <c r="D569" s="16"/>
      <c r="E569" s="16"/>
      <c r="F569" s="9"/>
      <c r="G569" s="9"/>
      <c r="H569" s="9"/>
    </row>
    <row r="570" spans="4:8" s="3" customFormat="1" ht="21" customHeight="1">
      <c r="D570" s="16"/>
      <c r="E570" s="16"/>
      <c r="F570" s="9"/>
      <c r="G570" s="9"/>
      <c r="H570" s="9"/>
    </row>
    <row r="571" spans="4:8" s="3" customFormat="1" ht="21" customHeight="1">
      <c r="D571" s="16"/>
      <c r="E571" s="16"/>
      <c r="F571" s="9"/>
      <c r="G571" s="9"/>
      <c r="H571" s="9"/>
    </row>
    <row r="572" spans="4:8" s="3" customFormat="1" ht="21" customHeight="1">
      <c r="D572" s="16"/>
      <c r="E572" s="16"/>
      <c r="F572" s="9"/>
      <c r="G572" s="9"/>
      <c r="H572" s="9"/>
    </row>
    <row r="573" spans="4:8" s="3" customFormat="1" ht="21" customHeight="1">
      <c r="D573" s="16"/>
      <c r="E573" s="16"/>
      <c r="F573" s="9"/>
      <c r="G573" s="9"/>
      <c r="H573" s="9"/>
    </row>
    <row r="574" spans="4:8" s="3" customFormat="1" ht="21" customHeight="1">
      <c r="D574" s="16"/>
      <c r="E574" s="16"/>
      <c r="F574" s="9"/>
      <c r="G574" s="9"/>
      <c r="H574" s="9"/>
    </row>
    <row r="575" spans="4:8" s="3" customFormat="1" ht="21" customHeight="1">
      <c r="D575" s="16"/>
      <c r="E575" s="16"/>
      <c r="F575" s="9"/>
      <c r="G575" s="9"/>
      <c r="H575" s="9"/>
    </row>
    <row r="576" spans="4:8" s="3" customFormat="1" ht="21" customHeight="1">
      <c r="D576" s="16"/>
      <c r="E576" s="16"/>
      <c r="F576" s="9"/>
      <c r="G576" s="9"/>
      <c r="H576" s="9"/>
    </row>
    <row r="577" spans="4:8" s="3" customFormat="1" ht="21" customHeight="1">
      <c r="D577" s="16"/>
      <c r="E577" s="16"/>
      <c r="F577" s="9"/>
      <c r="G577" s="9"/>
      <c r="H577" s="9"/>
    </row>
    <row r="578" spans="4:8" s="3" customFormat="1" ht="21" customHeight="1">
      <c r="D578" s="16"/>
      <c r="E578" s="16"/>
      <c r="F578" s="9"/>
      <c r="G578" s="9"/>
      <c r="H578" s="9"/>
    </row>
    <row r="579" spans="4:8" s="3" customFormat="1" ht="21" customHeight="1">
      <c r="D579" s="16"/>
      <c r="E579" s="16"/>
      <c r="F579" s="9"/>
      <c r="G579" s="9"/>
      <c r="H579" s="9"/>
    </row>
    <row r="580" spans="4:8" s="3" customFormat="1" ht="21" customHeight="1">
      <c r="D580" s="16"/>
      <c r="E580" s="16"/>
      <c r="F580" s="9"/>
      <c r="G580" s="9"/>
      <c r="H580" s="9"/>
    </row>
    <row r="581" spans="4:8" s="3" customFormat="1" ht="21" customHeight="1">
      <c r="D581" s="16"/>
      <c r="E581" s="16"/>
      <c r="F581" s="9"/>
      <c r="G581" s="9"/>
      <c r="H581" s="9"/>
    </row>
    <row r="582" spans="4:8" s="3" customFormat="1" ht="21" customHeight="1">
      <c r="D582" s="16"/>
      <c r="E582" s="16"/>
      <c r="F582" s="9"/>
      <c r="G582" s="9"/>
      <c r="H582" s="9"/>
    </row>
    <row r="583" spans="4:8" s="3" customFormat="1" ht="21" customHeight="1">
      <c r="D583" s="16"/>
      <c r="E583" s="16"/>
      <c r="F583" s="9"/>
      <c r="G583" s="9"/>
      <c r="H583" s="9"/>
    </row>
    <row r="584" spans="4:8" s="3" customFormat="1" ht="21" customHeight="1">
      <c r="D584" s="16"/>
      <c r="E584" s="16"/>
      <c r="F584" s="9"/>
      <c r="G584" s="9"/>
      <c r="H584" s="9"/>
    </row>
    <row r="585" spans="4:8" s="3" customFormat="1" ht="21" customHeight="1">
      <c r="D585" s="16"/>
      <c r="E585" s="16"/>
      <c r="F585" s="9"/>
      <c r="G585" s="9"/>
      <c r="H585" s="9"/>
    </row>
    <row r="586" spans="4:8" s="3" customFormat="1" ht="21" customHeight="1">
      <c r="D586" s="16"/>
      <c r="E586" s="16"/>
      <c r="F586" s="9"/>
      <c r="G586" s="9"/>
      <c r="H586" s="9"/>
    </row>
    <row r="587" spans="4:8" s="3" customFormat="1" ht="21" customHeight="1">
      <c r="D587" s="16"/>
      <c r="E587" s="16"/>
      <c r="F587" s="9"/>
      <c r="G587" s="9"/>
      <c r="H587" s="9"/>
    </row>
    <row r="588" spans="4:8" s="3" customFormat="1" ht="21" customHeight="1">
      <c r="D588" s="16"/>
      <c r="E588" s="16"/>
      <c r="F588" s="9"/>
      <c r="G588" s="9"/>
      <c r="H588" s="9"/>
    </row>
    <row r="589" spans="4:8" s="3" customFormat="1" ht="21" customHeight="1">
      <c r="D589" s="16"/>
      <c r="E589" s="16"/>
      <c r="F589" s="9"/>
      <c r="G589" s="9"/>
      <c r="H589" s="9"/>
    </row>
    <row r="590" spans="4:8" s="3" customFormat="1" ht="21" customHeight="1">
      <c r="D590" s="16"/>
      <c r="E590" s="16"/>
      <c r="F590" s="9"/>
      <c r="G590" s="9"/>
      <c r="H590" s="9"/>
    </row>
    <row r="591" spans="4:8" s="3" customFormat="1" ht="21" customHeight="1">
      <c r="D591" s="16"/>
      <c r="E591" s="16"/>
      <c r="F591" s="9"/>
      <c r="G591" s="9"/>
      <c r="H591" s="9"/>
    </row>
    <row r="592" spans="4:8" s="3" customFormat="1" ht="21" customHeight="1">
      <c r="D592" s="16"/>
      <c r="E592" s="16"/>
      <c r="F592" s="9"/>
      <c r="G592" s="9"/>
      <c r="H592" s="9"/>
    </row>
    <row r="593" spans="4:8" s="3" customFormat="1" ht="21" customHeight="1">
      <c r="D593" s="16"/>
      <c r="E593" s="16"/>
      <c r="F593" s="9"/>
      <c r="G593" s="9"/>
      <c r="H593" s="9"/>
    </row>
    <row r="594" spans="4:8" s="3" customFormat="1" ht="21" customHeight="1">
      <c r="D594" s="16"/>
      <c r="E594" s="16"/>
      <c r="F594" s="9"/>
      <c r="G594" s="9"/>
      <c r="H594" s="9"/>
    </row>
    <row r="595" spans="4:8" s="3" customFormat="1" ht="21" customHeight="1">
      <c r="D595" s="16"/>
      <c r="E595" s="16"/>
      <c r="F595" s="9"/>
      <c r="G595" s="9"/>
      <c r="H595" s="9"/>
    </row>
    <row r="596" spans="4:8" s="3" customFormat="1" ht="21" customHeight="1">
      <c r="D596" s="16"/>
      <c r="E596" s="16"/>
      <c r="F596" s="9"/>
      <c r="G596" s="9"/>
      <c r="H596" s="9"/>
    </row>
    <row r="597" spans="4:8" s="3" customFormat="1" ht="21" customHeight="1">
      <c r="D597" s="16"/>
      <c r="E597" s="16"/>
      <c r="F597" s="9"/>
      <c r="G597" s="9"/>
      <c r="H597" s="9"/>
    </row>
    <row r="598" spans="4:8" s="3" customFormat="1" ht="21" customHeight="1">
      <c r="D598" s="16"/>
      <c r="E598" s="16"/>
      <c r="F598" s="9"/>
      <c r="G598" s="9"/>
      <c r="H598" s="9"/>
    </row>
    <row r="599" spans="4:8" s="3" customFormat="1" ht="21" customHeight="1">
      <c r="D599" s="16"/>
      <c r="E599" s="16"/>
      <c r="F599" s="9"/>
      <c r="G599" s="9"/>
      <c r="H599" s="9"/>
    </row>
    <row r="600" spans="4:8" s="3" customFormat="1" ht="21" customHeight="1">
      <c r="D600" s="16"/>
      <c r="E600" s="16"/>
      <c r="F600" s="9"/>
      <c r="G600" s="9"/>
      <c r="H600" s="9"/>
    </row>
    <row r="601" spans="4:8" s="3" customFormat="1" ht="21" customHeight="1">
      <c r="D601" s="16"/>
      <c r="E601" s="16"/>
      <c r="F601" s="9"/>
      <c r="G601" s="9"/>
      <c r="H601" s="9"/>
    </row>
    <row r="602" spans="4:8" s="3" customFormat="1" ht="21" customHeight="1">
      <c r="D602" s="16"/>
      <c r="E602" s="16"/>
      <c r="F602" s="9"/>
      <c r="G602" s="9"/>
      <c r="H602" s="9"/>
    </row>
    <row r="603" spans="4:8" s="3" customFormat="1" ht="21" customHeight="1">
      <c r="D603" s="16"/>
      <c r="E603" s="16"/>
      <c r="F603" s="9"/>
      <c r="G603" s="9"/>
      <c r="H603" s="9"/>
    </row>
    <row r="604" spans="4:8" s="3" customFormat="1" ht="21" customHeight="1">
      <c r="D604" s="16"/>
      <c r="E604" s="16"/>
      <c r="F604" s="9"/>
      <c r="G604" s="9"/>
      <c r="H604" s="9"/>
    </row>
    <row r="605" spans="4:8" s="3" customFormat="1" ht="21" customHeight="1">
      <c r="D605" s="16"/>
      <c r="E605" s="16"/>
      <c r="F605" s="9"/>
      <c r="G605" s="9"/>
      <c r="H605" s="9"/>
    </row>
    <row r="606" spans="4:8" s="3" customFormat="1" ht="21" customHeight="1">
      <c r="D606" s="16"/>
      <c r="E606" s="16"/>
      <c r="F606" s="9"/>
      <c r="G606" s="9"/>
      <c r="H606" s="9"/>
    </row>
    <row r="607" spans="4:8" s="3" customFormat="1" ht="21" customHeight="1">
      <c r="D607" s="16"/>
      <c r="E607" s="16"/>
      <c r="F607" s="9"/>
      <c r="G607" s="9"/>
      <c r="H607" s="9"/>
    </row>
    <row r="608" spans="4:8" s="3" customFormat="1" ht="21" customHeight="1">
      <c r="D608" s="16"/>
      <c r="E608" s="16"/>
      <c r="F608" s="9"/>
      <c r="G608" s="9"/>
      <c r="H608" s="9"/>
    </row>
    <row r="609" spans="4:8" s="3" customFormat="1" ht="21" customHeight="1">
      <c r="D609" s="16"/>
      <c r="E609" s="16"/>
      <c r="F609" s="9"/>
      <c r="G609" s="9"/>
      <c r="H609" s="9"/>
    </row>
    <row r="610" spans="4:8" s="3" customFormat="1" ht="21" customHeight="1">
      <c r="D610" s="16"/>
      <c r="E610" s="16"/>
      <c r="F610" s="9"/>
      <c r="G610" s="9"/>
      <c r="H610" s="9"/>
    </row>
    <row r="611" spans="4:8" s="3" customFormat="1" ht="21" customHeight="1">
      <c r="D611" s="16"/>
      <c r="E611" s="16"/>
      <c r="F611" s="9"/>
      <c r="G611" s="9"/>
      <c r="H611" s="9"/>
    </row>
    <row r="612" spans="4:8" s="3" customFormat="1" ht="21" customHeight="1">
      <c r="D612" s="16"/>
      <c r="E612" s="16"/>
      <c r="F612" s="9"/>
      <c r="G612" s="9"/>
      <c r="H612" s="9"/>
    </row>
    <row r="613" spans="4:8" s="3" customFormat="1" ht="21" customHeight="1">
      <c r="D613" s="16"/>
      <c r="E613" s="16"/>
      <c r="F613" s="9"/>
      <c r="G613" s="9"/>
      <c r="H613" s="9"/>
    </row>
    <row r="614" spans="4:8" s="3" customFormat="1" ht="21" customHeight="1">
      <c r="D614" s="16"/>
      <c r="E614" s="16"/>
      <c r="F614" s="9"/>
      <c r="G614" s="9"/>
      <c r="H614" s="9"/>
    </row>
    <row r="615" spans="4:8" s="3" customFormat="1" ht="21" customHeight="1">
      <c r="D615" s="16"/>
      <c r="E615" s="16"/>
      <c r="F615" s="9"/>
      <c r="G615" s="9"/>
      <c r="H615" s="9"/>
    </row>
    <row r="616" spans="4:8" s="3" customFormat="1" ht="21" customHeight="1">
      <c r="D616" s="16"/>
      <c r="E616" s="16"/>
      <c r="F616" s="9"/>
      <c r="G616" s="9"/>
      <c r="H616" s="9"/>
    </row>
    <row r="617" spans="4:8" s="3" customFormat="1" ht="21" customHeight="1">
      <c r="D617" s="16"/>
      <c r="E617" s="16"/>
      <c r="F617" s="9"/>
      <c r="G617" s="9"/>
      <c r="H617" s="9"/>
    </row>
    <row r="618" spans="4:8" s="3" customFormat="1" ht="21" customHeight="1">
      <c r="D618" s="16"/>
      <c r="E618" s="16"/>
      <c r="F618" s="9"/>
      <c r="G618" s="9"/>
      <c r="H618" s="9"/>
    </row>
    <row r="619" spans="4:8" s="3" customFormat="1" ht="21" customHeight="1">
      <c r="D619" s="16"/>
      <c r="E619" s="16"/>
      <c r="F619" s="9"/>
      <c r="G619" s="9"/>
      <c r="H619" s="9"/>
    </row>
    <row r="620" spans="4:8" s="3" customFormat="1" ht="21" customHeight="1">
      <c r="D620" s="16"/>
      <c r="E620" s="16"/>
      <c r="F620" s="9"/>
      <c r="G620" s="9"/>
      <c r="H620" s="9"/>
    </row>
    <row r="621" spans="4:8" s="3" customFormat="1" ht="21" customHeight="1">
      <c r="D621" s="16"/>
      <c r="E621" s="16"/>
      <c r="F621" s="9"/>
      <c r="G621" s="9"/>
      <c r="H621" s="9"/>
    </row>
    <row r="622" spans="4:8" s="3" customFormat="1" ht="21" customHeight="1">
      <c r="D622" s="16"/>
      <c r="E622" s="16"/>
      <c r="F622" s="9"/>
      <c r="G622" s="9"/>
      <c r="H622" s="9"/>
    </row>
    <row r="623" spans="4:8" s="3" customFormat="1" ht="21" customHeight="1">
      <c r="D623" s="16"/>
      <c r="E623" s="16"/>
      <c r="F623" s="9"/>
      <c r="G623" s="9"/>
      <c r="H623" s="9"/>
    </row>
    <row r="624" spans="4:8" s="3" customFormat="1" ht="21" customHeight="1">
      <c r="D624" s="16"/>
      <c r="E624" s="16"/>
      <c r="F624" s="9"/>
      <c r="G624" s="9"/>
      <c r="H624" s="9"/>
    </row>
    <row r="625" spans="4:8" s="3" customFormat="1" ht="21" customHeight="1">
      <c r="D625" s="16"/>
      <c r="E625" s="16"/>
      <c r="F625" s="9"/>
      <c r="G625" s="9"/>
      <c r="H625" s="9"/>
    </row>
    <row r="626" spans="4:8" s="3" customFormat="1" ht="21" customHeight="1">
      <c r="D626" s="16"/>
      <c r="E626" s="16"/>
      <c r="F626" s="9"/>
      <c r="G626" s="9"/>
      <c r="H626" s="9"/>
    </row>
    <row r="627" spans="4:8" s="3" customFormat="1" ht="21" customHeight="1">
      <c r="D627" s="16"/>
      <c r="E627" s="16"/>
      <c r="F627" s="9"/>
      <c r="G627" s="9"/>
      <c r="H627" s="9"/>
    </row>
    <row r="628" spans="4:8" s="3" customFormat="1" ht="21" customHeight="1">
      <c r="D628" s="16"/>
      <c r="E628" s="16"/>
      <c r="F628" s="9"/>
      <c r="G628" s="9"/>
      <c r="H628" s="9"/>
    </row>
    <row r="629" spans="4:8" s="3" customFormat="1" ht="21" customHeight="1">
      <c r="D629" s="16"/>
      <c r="E629" s="16"/>
      <c r="F629" s="9"/>
      <c r="G629" s="9"/>
      <c r="H629" s="9"/>
    </row>
    <row r="630" spans="4:8" s="3" customFormat="1" ht="21" customHeight="1">
      <c r="D630" s="16"/>
      <c r="E630" s="16"/>
      <c r="F630" s="9"/>
      <c r="G630" s="9"/>
      <c r="H630" s="9"/>
    </row>
    <row r="631" spans="4:8" s="3" customFormat="1" ht="21" customHeight="1">
      <c r="D631" s="16"/>
      <c r="E631" s="16"/>
      <c r="F631" s="9"/>
      <c r="G631" s="9"/>
      <c r="H631" s="9"/>
    </row>
    <row r="632" spans="4:8" s="3" customFormat="1" ht="21" customHeight="1">
      <c r="D632" s="16"/>
      <c r="E632" s="16"/>
      <c r="F632" s="9"/>
      <c r="G632" s="9"/>
      <c r="H632" s="9"/>
    </row>
    <row r="633" spans="4:8" s="3" customFormat="1" ht="21" customHeight="1">
      <c r="D633" s="16"/>
      <c r="E633" s="16"/>
      <c r="F633" s="9"/>
      <c r="G633" s="9"/>
      <c r="H633" s="9"/>
    </row>
    <row r="634" spans="4:8" s="3" customFormat="1" ht="21" customHeight="1">
      <c r="D634" s="16"/>
      <c r="E634" s="16"/>
      <c r="F634" s="9"/>
      <c r="G634" s="9"/>
      <c r="H634" s="9"/>
    </row>
    <row r="635" spans="4:8" s="3" customFormat="1" ht="21" customHeight="1">
      <c r="D635" s="16"/>
      <c r="E635" s="16"/>
      <c r="F635" s="9"/>
      <c r="G635" s="9"/>
      <c r="H635" s="9"/>
    </row>
    <row r="636" spans="4:8" s="3" customFormat="1" ht="21" customHeight="1">
      <c r="D636" s="16"/>
      <c r="E636" s="16"/>
      <c r="F636" s="9"/>
      <c r="G636" s="9"/>
      <c r="H636" s="9"/>
    </row>
    <row r="637" spans="4:8" s="3" customFormat="1" ht="21" customHeight="1">
      <c r="D637" s="16"/>
      <c r="E637" s="16"/>
      <c r="F637" s="9"/>
      <c r="G637" s="9"/>
      <c r="H637" s="9"/>
    </row>
    <row r="638" spans="4:8" s="3" customFormat="1" ht="21" customHeight="1">
      <c r="D638" s="16"/>
      <c r="E638" s="16"/>
      <c r="F638" s="9"/>
      <c r="G638" s="9"/>
      <c r="H638" s="9"/>
    </row>
    <row r="639" spans="4:8" s="3" customFormat="1" ht="21" customHeight="1">
      <c r="D639" s="16"/>
      <c r="E639" s="16"/>
      <c r="F639" s="9"/>
      <c r="G639" s="9"/>
      <c r="H639" s="9"/>
    </row>
    <row r="640" spans="4:8" s="3" customFormat="1" ht="21" customHeight="1">
      <c r="D640" s="16"/>
      <c r="E640" s="16"/>
      <c r="F640" s="9"/>
      <c r="G640" s="9"/>
      <c r="H640" s="9"/>
    </row>
    <row r="641" spans="4:8" s="3" customFormat="1" ht="21" customHeight="1">
      <c r="D641" s="16"/>
      <c r="E641" s="16"/>
      <c r="F641" s="9"/>
      <c r="G641" s="9"/>
      <c r="H641" s="9"/>
    </row>
    <row r="642" spans="4:8" s="3" customFormat="1" ht="21" customHeight="1">
      <c r="D642" s="16"/>
      <c r="E642" s="16"/>
      <c r="F642" s="9"/>
      <c r="G642" s="9"/>
      <c r="H642" s="9"/>
    </row>
    <row r="643" spans="4:8" s="3" customFormat="1" ht="21" customHeight="1">
      <c r="D643" s="16"/>
      <c r="E643" s="16"/>
      <c r="F643" s="9"/>
      <c r="G643" s="9"/>
      <c r="H643" s="9"/>
    </row>
    <row r="644" spans="4:8" s="3" customFormat="1" ht="21" customHeight="1">
      <c r="D644" s="16"/>
      <c r="E644" s="16"/>
      <c r="F644" s="9"/>
      <c r="G644" s="9"/>
      <c r="H644" s="9"/>
    </row>
    <row r="645" spans="4:8" s="3" customFormat="1" ht="21" customHeight="1">
      <c r="D645" s="16"/>
      <c r="E645" s="16"/>
      <c r="F645" s="9"/>
      <c r="G645" s="9"/>
      <c r="H645" s="9"/>
    </row>
    <row r="646" spans="4:8" s="3" customFormat="1" ht="21" customHeight="1">
      <c r="D646" s="16"/>
      <c r="E646" s="16"/>
      <c r="F646" s="9"/>
      <c r="G646" s="9"/>
      <c r="H646" s="9"/>
    </row>
    <row r="647" spans="4:8" s="3" customFormat="1" ht="21" customHeight="1">
      <c r="D647" s="16"/>
      <c r="E647" s="16"/>
      <c r="F647" s="9"/>
      <c r="G647" s="9"/>
      <c r="H647" s="9"/>
    </row>
    <row r="648" spans="4:8" s="3" customFormat="1" ht="21" customHeight="1">
      <c r="D648" s="16"/>
      <c r="E648" s="16"/>
      <c r="F648" s="9"/>
      <c r="G648" s="9"/>
      <c r="H648" s="9"/>
    </row>
    <row r="649" spans="4:8" s="3" customFormat="1" ht="21" customHeight="1">
      <c r="D649" s="16"/>
      <c r="E649" s="16"/>
      <c r="F649" s="9"/>
      <c r="G649" s="9"/>
      <c r="H649" s="9"/>
    </row>
    <row r="650" spans="4:8" s="3" customFormat="1" ht="21" customHeight="1">
      <c r="D650" s="16"/>
      <c r="E650" s="16"/>
      <c r="F650" s="9"/>
      <c r="G650" s="9"/>
      <c r="H650" s="9"/>
    </row>
    <row r="651" spans="4:8" s="3" customFormat="1" ht="21" customHeight="1">
      <c r="D651" s="16"/>
      <c r="E651" s="16"/>
      <c r="F651" s="9"/>
      <c r="G651" s="9"/>
      <c r="H651" s="9"/>
    </row>
    <row r="652" spans="4:8" s="3" customFormat="1" ht="21" customHeight="1">
      <c r="D652" s="16"/>
      <c r="E652" s="16"/>
      <c r="F652" s="9"/>
      <c r="G652" s="9"/>
      <c r="H652" s="9"/>
    </row>
    <row r="653" spans="4:8" s="3" customFormat="1" ht="21" customHeight="1">
      <c r="D653" s="16"/>
      <c r="E653" s="16"/>
      <c r="F653" s="9"/>
      <c r="G653" s="9"/>
      <c r="H653" s="9"/>
    </row>
    <row r="654" spans="4:8" s="3" customFormat="1" ht="21" customHeight="1">
      <c r="D654" s="16"/>
      <c r="E654" s="16"/>
      <c r="F654" s="9"/>
      <c r="G654" s="9"/>
      <c r="H654" s="9"/>
    </row>
    <row r="655" spans="4:8" s="3" customFormat="1" ht="21" customHeight="1">
      <c r="D655" s="16"/>
      <c r="E655" s="16"/>
      <c r="F655" s="9"/>
      <c r="G655" s="9"/>
      <c r="H655" s="9"/>
    </row>
    <row r="656" spans="4:8" s="3" customFormat="1" ht="21" customHeight="1">
      <c r="D656" s="16"/>
      <c r="E656" s="16"/>
      <c r="F656" s="9"/>
      <c r="G656" s="9"/>
      <c r="H656" s="9"/>
    </row>
    <row r="657" spans="4:8" s="3" customFormat="1" ht="21" customHeight="1">
      <c r="D657" s="16"/>
      <c r="E657" s="16"/>
      <c r="F657" s="9"/>
      <c r="G657" s="9"/>
      <c r="H657" s="9"/>
    </row>
    <row r="658" spans="4:8" s="3" customFormat="1" ht="21" customHeight="1">
      <c r="D658" s="16"/>
      <c r="E658" s="16"/>
      <c r="F658" s="9"/>
      <c r="G658" s="9"/>
      <c r="H658" s="9"/>
    </row>
    <row r="659" spans="4:8" s="3" customFormat="1" ht="21" customHeight="1">
      <c r="D659" s="16"/>
      <c r="E659" s="16"/>
      <c r="F659" s="9"/>
      <c r="G659" s="9"/>
      <c r="H659" s="9"/>
    </row>
    <row r="660" spans="4:8" s="3" customFormat="1" ht="21" customHeight="1">
      <c r="D660" s="16"/>
      <c r="E660" s="16"/>
      <c r="F660" s="9"/>
      <c r="G660" s="9"/>
      <c r="H660" s="9"/>
    </row>
    <row r="661" spans="4:8" s="3" customFormat="1" ht="21" customHeight="1">
      <c r="D661" s="16"/>
      <c r="E661" s="16"/>
      <c r="F661" s="9"/>
      <c r="G661" s="9"/>
      <c r="H661" s="9"/>
    </row>
    <row r="662" spans="4:8" s="3" customFormat="1" ht="21" customHeight="1">
      <c r="D662" s="16"/>
      <c r="E662" s="16"/>
      <c r="F662" s="9"/>
      <c r="G662" s="9"/>
      <c r="H662" s="9"/>
    </row>
    <row r="663" spans="4:8" s="3" customFormat="1" ht="21" customHeight="1">
      <c r="D663" s="16"/>
      <c r="E663" s="16"/>
      <c r="F663" s="9"/>
      <c r="G663" s="9"/>
      <c r="H663" s="9"/>
    </row>
    <row r="664" spans="4:8" s="3" customFormat="1" ht="21" customHeight="1">
      <c r="D664" s="16"/>
      <c r="E664" s="16"/>
      <c r="F664" s="9"/>
      <c r="G664" s="9"/>
      <c r="H664" s="9"/>
    </row>
    <row r="665" spans="4:8" s="3" customFormat="1" ht="21" customHeight="1">
      <c r="D665" s="16"/>
      <c r="E665" s="16"/>
      <c r="F665" s="9"/>
      <c r="G665" s="9"/>
      <c r="H665" s="9"/>
    </row>
    <row r="666" spans="4:8" s="3" customFormat="1" ht="21" customHeight="1">
      <c r="D666" s="16"/>
      <c r="E666" s="16"/>
      <c r="F666" s="9"/>
      <c r="G666" s="9"/>
      <c r="H666" s="9"/>
    </row>
    <row r="667" spans="4:8" s="3" customFormat="1" ht="21" customHeight="1">
      <c r="D667" s="16"/>
      <c r="E667" s="16"/>
      <c r="F667" s="9"/>
      <c r="G667" s="9"/>
      <c r="H667" s="9"/>
    </row>
    <row r="668" spans="4:8" s="3" customFormat="1" ht="21" customHeight="1">
      <c r="D668" s="16"/>
      <c r="E668" s="16"/>
      <c r="F668" s="9"/>
      <c r="G668" s="9"/>
      <c r="H668" s="9"/>
    </row>
    <row r="669" spans="4:8" s="3" customFormat="1" ht="21" customHeight="1">
      <c r="D669" s="16"/>
      <c r="E669" s="16"/>
      <c r="F669" s="9"/>
      <c r="G669" s="9"/>
      <c r="H669" s="9"/>
    </row>
    <row r="670" spans="4:8" s="3" customFormat="1" ht="21" customHeight="1">
      <c r="D670" s="16"/>
      <c r="E670" s="16"/>
      <c r="F670" s="9"/>
      <c r="G670" s="9"/>
      <c r="H670" s="9"/>
    </row>
    <row r="671" spans="4:8" s="3" customFormat="1" ht="21" customHeight="1">
      <c r="D671" s="16"/>
      <c r="E671" s="16"/>
      <c r="F671" s="9"/>
      <c r="G671" s="9"/>
      <c r="H671" s="9"/>
    </row>
    <row r="672" spans="4:8" s="3" customFormat="1" ht="21" customHeight="1">
      <c r="D672" s="16"/>
      <c r="E672" s="16"/>
      <c r="F672" s="9"/>
      <c r="G672" s="9"/>
      <c r="H672" s="9"/>
    </row>
    <row r="673" spans="4:8" s="3" customFormat="1" ht="21" customHeight="1">
      <c r="D673" s="16"/>
      <c r="E673" s="16"/>
      <c r="F673" s="9"/>
      <c r="G673" s="9"/>
      <c r="H673" s="9"/>
    </row>
    <row r="674" spans="4:8" s="3" customFormat="1" ht="21" customHeight="1">
      <c r="D674" s="16"/>
      <c r="E674" s="16"/>
      <c r="F674" s="9"/>
      <c r="G674" s="9"/>
      <c r="H674" s="9"/>
    </row>
    <row r="675" spans="4:8" s="3" customFormat="1" ht="21" customHeight="1">
      <c r="D675" s="16"/>
      <c r="E675" s="16"/>
      <c r="F675" s="9"/>
      <c r="G675" s="9"/>
      <c r="H675" s="9"/>
    </row>
    <row r="676" spans="4:8" s="3" customFormat="1" ht="21" customHeight="1">
      <c r="D676" s="16"/>
      <c r="E676" s="16"/>
      <c r="F676" s="9"/>
      <c r="G676" s="9"/>
      <c r="H676" s="9"/>
    </row>
    <row r="677" spans="4:8" s="3" customFormat="1" ht="21" customHeight="1">
      <c r="D677" s="16"/>
      <c r="E677" s="16"/>
      <c r="F677" s="9"/>
      <c r="G677" s="9"/>
      <c r="H677" s="9"/>
    </row>
    <row r="678" spans="4:8" s="3" customFormat="1" ht="21" customHeight="1">
      <c r="D678" s="16"/>
      <c r="E678" s="16"/>
      <c r="F678" s="9"/>
      <c r="G678" s="9"/>
      <c r="H678" s="9"/>
    </row>
    <row r="679" spans="4:8" s="3" customFormat="1" ht="21" customHeight="1">
      <c r="D679" s="16"/>
      <c r="E679" s="16"/>
      <c r="F679" s="9"/>
      <c r="G679" s="9"/>
      <c r="H679" s="9"/>
    </row>
    <row r="680" spans="4:8" s="3" customFormat="1" ht="21" customHeight="1">
      <c r="D680" s="16"/>
      <c r="E680" s="16"/>
      <c r="F680" s="9"/>
      <c r="G680" s="9"/>
      <c r="H680" s="9"/>
    </row>
    <row r="681" spans="4:8" s="3" customFormat="1" ht="21" customHeight="1">
      <c r="D681" s="16"/>
      <c r="E681" s="16"/>
      <c r="F681" s="9"/>
      <c r="G681" s="9"/>
      <c r="H681" s="9"/>
    </row>
    <row r="682" spans="4:8" s="3" customFormat="1" ht="21" customHeight="1">
      <c r="D682" s="16"/>
      <c r="E682" s="16"/>
      <c r="F682" s="9"/>
      <c r="G682" s="9"/>
      <c r="H682" s="9"/>
    </row>
    <row r="683" spans="4:8" s="3" customFormat="1" ht="21" customHeight="1">
      <c r="D683" s="16"/>
      <c r="E683" s="16"/>
      <c r="F683" s="9"/>
      <c r="G683" s="9"/>
      <c r="H683" s="9"/>
    </row>
    <row r="684" spans="4:8" s="3" customFormat="1" ht="21" customHeight="1">
      <c r="D684" s="16"/>
      <c r="E684" s="16"/>
      <c r="F684" s="9"/>
      <c r="G684" s="9"/>
      <c r="H684" s="9"/>
    </row>
    <row r="685" spans="4:8" s="3" customFormat="1" ht="21" customHeight="1">
      <c r="D685" s="16"/>
      <c r="E685" s="16"/>
      <c r="F685" s="9"/>
      <c r="G685" s="9"/>
      <c r="H685" s="9"/>
    </row>
    <row r="686" spans="4:8" s="3" customFormat="1" ht="21" customHeight="1">
      <c r="D686" s="16"/>
      <c r="E686" s="16"/>
      <c r="F686" s="9"/>
      <c r="G686" s="9"/>
      <c r="H686" s="9"/>
    </row>
    <row r="687" spans="4:8" s="3" customFormat="1" ht="21" customHeight="1">
      <c r="D687" s="16"/>
      <c r="E687" s="16"/>
      <c r="F687" s="9"/>
      <c r="G687" s="9"/>
      <c r="H687" s="9"/>
    </row>
    <row r="688" spans="4:8" s="3" customFormat="1" ht="21" customHeight="1">
      <c r="D688" s="16"/>
      <c r="E688" s="16"/>
      <c r="F688" s="9"/>
      <c r="G688" s="9"/>
      <c r="H688" s="9"/>
    </row>
    <row r="689" spans="4:8" s="3" customFormat="1" ht="21" customHeight="1">
      <c r="D689" s="16"/>
      <c r="E689" s="16"/>
      <c r="F689" s="9"/>
      <c r="G689" s="9"/>
      <c r="H689" s="9"/>
    </row>
    <row r="690" spans="4:8" s="3" customFormat="1" ht="21" customHeight="1">
      <c r="D690" s="16"/>
      <c r="E690" s="16"/>
      <c r="F690" s="9"/>
      <c r="G690" s="9"/>
      <c r="H690" s="9"/>
    </row>
    <row r="691" spans="4:8" s="3" customFormat="1" ht="21" customHeight="1">
      <c r="D691" s="16"/>
      <c r="E691" s="16"/>
      <c r="F691" s="9"/>
      <c r="G691" s="9"/>
      <c r="H691" s="9"/>
    </row>
    <row r="692" spans="4:8" s="3" customFormat="1" ht="21" customHeight="1">
      <c r="D692" s="16"/>
      <c r="E692" s="16"/>
      <c r="F692" s="9"/>
      <c r="G692" s="9"/>
      <c r="H692" s="9"/>
    </row>
    <row r="693" spans="4:8" s="3" customFormat="1" ht="21" customHeight="1">
      <c r="D693" s="16"/>
      <c r="E693" s="16"/>
      <c r="F693" s="9"/>
      <c r="G693" s="9"/>
      <c r="H693" s="9"/>
    </row>
    <row r="694" spans="4:8" s="3" customFormat="1" ht="21" customHeight="1">
      <c r="D694" s="16"/>
      <c r="E694" s="16"/>
      <c r="F694" s="9"/>
      <c r="G694" s="9"/>
      <c r="H694" s="9"/>
    </row>
    <row r="695" spans="4:8" s="3" customFormat="1" ht="21" customHeight="1">
      <c r="D695" s="16"/>
      <c r="E695" s="16"/>
      <c r="F695" s="9"/>
      <c r="G695" s="9"/>
      <c r="H695" s="9"/>
    </row>
    <row r="696" spans="4:8" s="3" customFormat="1" ht="21" customHeight="1">
      <c r="D696" s="16"/>
      <c r="E696" s="16"/>
      <c r="F696" s="9"/>
      <c r="G696" s="9"/>
      <c r="H696" s="9"/>
    </row>
    <row r="697" spans="4:8" s="3" customFormat="1" ht="21" customHeight="1">
      <c r="D697" s="16"/>
      <c r="E697" s="16"/>
      <c r="F697" s="9"/>
      <c r="G697" s="9"/>
      <c r="H697" s="9"/>
    </row>
    <row r="698" spans="4:8" s="3" customFormat="1" ht="21" customHeight="1">
      <c r="D698" s="16"/>
      <c r="E698" s="16"/>
      <c r="F698" s="9"/>
      <c r="G698" s="9"/>
      <c r="H698" s="9"/>
    </row>
    <row r="699" spans="4:8" s="3" customFormat="1" ht="21" customHeight="1">
      <c r="D699" s="16"/>
      <c r="E699" s="16"/>
      <c r="F699" s="9"/>
      <c r="G699" s="9"/>
      <c r="H699" s="9"/>
    </row>
    <row r="700" spans="4:8" s="3" customFormat="1" ht="21" customHeight="1">
      <c r="D700" s="16"/>
      <c r="E700" s="16"/>
      <c r="F700" s="9"/>
      <c r="G700" s="9"/>
      <c r="H700" s="9"/>
    </row>
    <row r="701" spans="4:8" s="3" customFormat="1" ht="21" customHeight="1">
      <c r="D701" s="16"/>
      <c r="E701" s="16"/>
      <c r="F701" s="9"/>
      <c r="G701" s="9"/>
      <c r="H701" s="9"/>
    </row>
    <row r="702" spans="4:8" s="3" customFormat="1" ht="21" customHeight="1">
      <c r="D702" s="16"/>
      <c r="E702" s="16"/>
      <c r="F702" s="9"/>
      <c r="G702" s="9"/>
      <c r="H702" s="9"/>
    </row>
    <row r="703" spans="4:8" s="3" customFormat="1" ht="21" customHeight="1">
      <c r="D703" s="16"/>
      <c r="E703" s="16"/>
      <c r="F703" s="9"/>
      <c r="G703" s="9"/>
      <c r="H703" s="9"/>
    </row>
    <row r="704" spans="4:8" s="3" customFormat="1" ht="21" customHeight="1">
      <c r="D704" s="16"/>
      <c r="E704" s="16"/>
      <c r="F704" s="9"/>
      <c r="G704" s="9"/>
      <c r="H704" s="9"/>
    </row>
    <row r="705" spans="4:8" s="3" customFormat="1" ht="21" customHeight="1">
      <c r="D705" s="16"/>
      <c r="E705" s="16"/>
      <c r="F705" s="9"/>
      <c r="G705" s="9"/>
      <c r="H705" s="9"/>
    </row>
    <row r="706" spans="4:8" s="3" customFormat="1" ht="21" customHeight="1">
      <c r="D706" s="16"/>
      <c r="E706" s="16"/>
      <c r="F706" s="9"/>
      <c r="G706" s="9"/>
      <c r="H706" s="9"/>
    </row>
    <row r="707" spans="4:8" s="3" customFormat="1" ht="21" customHeight="1">
      <c r="D707" s="16"/>
      <c r="E707" s="16"/>
      <c r="F707" s="9"/>
      <c r="G707" s="9"/>
      <c r="H707" s="9"/>
    </row>
    <row r="708" spans="4:8" s="3" customFormat="1" ht="21" customHeight="1">
      <c r="D708" s="16"/>
      <c r="E708" s="16"/>
      <c r="F708" s="9"/>
      <c r="G708" s="9"/>
      <c r="H708" s="9"/>
    </row>
    <row r="709" spans="4:8" s="3" customFormat="1" ht="21" customHeight="1">
      <c r="D709" s="16"/>
      <c r="E709" s="16"/>
      <c r="F709" s="9"/>
      <c r="G709" s="9"/>
      <c r="H709" s="9"/>
    </row>
    <row r="710" spans="4:8" s="3" customFormat="1" ht="21" customHeight="1">
      <c r="D710" s="16"/>
      <c r="E710" s="16"/>
      <c r="F710" s="9"/>
      <c r="G710" s="9"/>
      <c r="H710" s="9"/>
    </row>
    <row r="711" spans="4:8" s="3" customFormat="1" ht="21" customHeight="1">
      <c r="D711" s="16"/>
      <c r="E711" s="16"/>
      <c r="F711" s="9"/>
      <c r="G711" s="9"/>
      <c r="H711" s="9"/>
    </row>
    <row r="712" spans="4:8" s="3" customFormat="1" ht="21" customHeight="1">
      <c r="D712" s="16"/>
      <c r="E712" s="16"/>
      <c r="F712" s="9"/>
      <c r="G712" s="9"/>
      <c r="H712" s="9"/>
    </row>
    <row r="713" spans="4:8" s="3" customFormat="1" ht="21" customHeight="1">
      <c r="D713" s="16"/>
      <c r="E713" s="16"/>
      <c r="F713" s="9"/>
      <c r="G713" s="9"/>
      <c r="H713" s="9"/>
    </row>
    <row r="714" spans="4:8" s="3" customFormat="1" ht="21" customHeight="1">
      <c r="D714" s="16"/>
      <c r="E714" s="16"/>
      <c r="F714" s="9"/>
      <c r="G714" s="9"/>
      <c r="H714" s="9"/>
    </row>
    <row r="715" spans="4:8" s="3" customFormat="1" ht="21" customHeight="1">
      <c r="D715" s="16"/>
      <c r="E715" s="16"/>
      <c r="F715" s="9"/>
      <c r="G715" s="9"/>
      <c r="H715" s="9"/>
    </row>
    <row r="716" spans="4:8" s="3" customFormat="1" ht="21" customHeight="1">
      <c r="D716" s="16"/>
      <c r="E716" s="16"/>
      <c r="F716" s="9"/>
      <c r="G716" s="9"/>
      <c r="H716" s="9"/>
    </row>
    <row r="717" spans="4:8" s="3" customFormat="1" ht="21" customHeight="1">
      <c r="D717" s="16"/>
      <c r="E717" s="16"/>
      <c r="F717" s="9"/>
      <c r="G717" s="9"/>
      <c r="H717" s="9"/>
    </row>
    <row r="718" spans="4:8" s="3" customFormat="1" ht="21" customHeight="1">
      <c r="D718" s="16"/>
      <c r="E718" s="16"/>
      <c r="F718" s="9"/>
      <c r="G718" s="9"/>
      <c r="H718" s="9"/>
    </row>
    <row r="719" spans="4:8" s="3" customFormat="1" ht="21" customHeight="1">
      <c r="D719" s="16"/>
      <c r="E719" s="16"/>
      <c r="F719" s="9"/>
      <c r="G719" s="9"/>
      <c r="H719" s="9"/>
    </row>
    <row r="720" spans="4:8" s="3" customFormat="1" ht="21" customHeight="1">
      <c r="D720" s="16"/>
      <c r="E720" s="16"/>
      <c r="F720" s="9"/>
      <c r="G720" s="9"/>
      <c r="H720" s="9"/>
    </row>
    <row r="721" spans="4:8" s="3" customFormat="1" ht="21" customHeight="1">
      <c r="D721" s="16"/>
      <c r="E721" s="16"/>
      <c r="F721" s="9"/>
      <c r="G721" s="9"/>
      <c r="H721" s="9"/>
    </row>
    <row r="722" spans="4:8" s="3" customFormat="1" ht="21" customHeight="1">
      <c r="D722" s="16"/>
      <c r="E722" s="16"/>
      <c r="F722" s="9"/>
      <c r="G722" s="9"/>
      <c r="H722" s="9"/>
    </row>
    <row r="723" spans="4:8" s="3" customFormat="1" ht="21" customHeight="1">
      <c r="D723" s="16"/>
      <c r="E723" s="16"/>
      <c r="F723" s="9"/>
      <c r="G723" s="9"/>
      <c r="H723" s="9"/>
    </row>
    <row r="724" spans="4:8" s="3" customFormat="1" ht="21" customHeight="1">
      <c r="D724" s="16"/>
      <c r="E724" s="16"/>
      <c r="F724" s="9"/>
      <c r="G724" s="9"/>
      <c r="H724" s="9"/>
    </row>
    <row r="725" spans="4:8" s="3" customFormat="1" ht="21" customHeight="1">
      <c r="D725" s="16"/>
      <c r="E725" s="16"/>
      <c r="F725" s="9"/>
      <c r="G725" s="9"/>
      <c r="H725" s="9"/>
    </row>
    <row r="726" spans="4:8" s="3" customFormat="1" ht="21" customHeight="1">
      <c r="D726" s="16"/>
      <c r="E726" s="16"/>
      <c r="F726" s="9"/>
      <c r="G726" s="9"/>
      <c r="H726" s="9"/>
    </row>
    <row r="727" spans="4:8" s="3" customFormat="1" ht="21" customHeight="1">
      <c r="D727" s="16"/>
      <c r="E727" s="16"/>
      <c r="F727" s="9"/>
      <c r="G727" s="9"/>
      <c r="H727" s="9"/>
    </row>
    <row r="728" spans="4:8" s="3" customFormat="1" ht="21" customHeight="1">
      <c r="D728" s="16"/>
      <c r="E728" s="16"/>
      <c r="F728" s="9"/>
      <c r="G728" s="9"/>
      <c r="H728" s="9"/>
    </row>
    <row r="729" spans="4:8" s="3" customFormat="1" ht="21" customHeight="1">
      <c r="D729" s="16"/>
      <c r="E729" s="16"/>
      <c r="F729" s="9"/>
      <c r="G729" s="9"/>
      <c r="H729" s="9"/>
    </row>
    <row r="730" spans="4:8" s="3" customFormat="1" ht="21" customHeight="1">
      <c r="D730" s="16"/>
      <c r="E730" s="16"/>
      <c r="F730" s="9"/>
      <c r="G730" s="9"/>
      <c r="H730" s="9"/>
    </row>
    <row r="731" spans="4:8" s="3" customFormat="1" ht="21" customHeight="1">
      <c r="D731" s="16"/>
      <c r="E731" s="16"/>
      <c r="F731" s="9"/>
      <c r="G731" s="9"/>
      <c r="H731" s="9"/>
    </row>
    <row r="732" spans="4:8" s="3" customFormat="1" ht="21" customHeight="1">
      <c r="D732" s="16"/>
      <c r="E732" s="16"/>
      <c r="F732" s="9"/>
      <c r="G732" s="9"/>
      <c r="H732" s="9"/>
    </row>
    <row r="733" spans="4:8" s="3" customFormat="1" ht="21" customHeight="1">
      <c r="D733" s="16"/>
      <c r="E733" s="16"/>
      <c r="F733" s="9"/>
      <c r="G733" s="9"/>
      <c r="H733" s="9"/>
    </row>
    <row r="734" spans="4:8" s="3" customFormat="1" ht="21" customHeight="1">
      <c r="D734" s="16"/>
      <c r="E734" s="16"/>
      <c r="F734" s="9"/>
      <c r="G734" s="9"/>
      <c r="H734" s="9"/>
    </row>
    <row r="735" spans="4:8" s="3" customFormat="1" ht="21" customHeight="1">
      <c r="D735" s="16"/>
      <c r="E735" s="16"/>
      <c r="F735" s="9"/>
      <c r="G735" s="9"/>
      <c r="H735" s="9"/>
    </row>
    <row r="736" spans="4:8" s="3" customFormat="1" ht="21" customHeight="1">
      <c r="D736" s="16"/>
      <c r="E736" s="16"/>
      <c r="F736" s="9"/>
      <c r="G736" s="9"/>
      <c r="H736" s="9"/>
    </row>
    <row r="737" spans="4:8" s="3" customFormat="1" ht="21" customHeight="1">
      <c r="D737" s="16"/>
      <c r="E737" s="16"/>
      <c r="F737" s="9"/>
      <c r="G737" s="9"/>
      <c r="H737" s="9"/>
    </row>
    <row r="738" spans="4:8" s="3" customFormat="1" ht="21" customHeight="1">
      <c r="D738" s="16"/>
      <c r="E738" s="16"/>
      <c r="F738" s="9"/>
      <c r="G738" s="9"/>
      <c r="H738" s="9"/>
    </row>
    <row r="739" spans="4:8" s="3" customFormat="1" ht="21" customHeight="1">
      <c r="D739" s="16"/>
      <c r="E739" s="16"/>
      <c r="F739" s="9"/>
      <c r="G739" s="9"/>
      <c r="H739" s="9"/>
    </row>
    <row r="740" spans="4:8" s="3" customFormat="1" ht="21" customHeight="1">
      <c r="D740" s="16"/>
      <c r="E740" s="16"/>
      <c r="F740" s="9"/>
      <c r="G740" s="9"/>
      <c r="H740" s="9"/>
    </row>
    <row r="741" spans="4:8" s="3" customFormat="1" ht="21" customHeight="1">
      <c r="D741" s="16"/>
      <c r="E741" s="16"/>
      <c r="F741" s="9"/>
      <c r="G741" s="9"/>
      <c r="H741" s="9"/>
    </row>
    <row r="742" spans="4:8" s="3" customFormat="1" ht="21" customHeight="1">
      <c r="D742" s="16"/>
      <c r="E742" s="16"/>
      <c r="F742" s="9"/>
      <c r="G742" s="9"/>
      <c r="H742" s="9"/>
    </row>
    <row r="743" spans="4:8" s="3" customFormat="1" ht="21" customHeight="1">
      <c r="D743" s="16"/>
      <c r="E743" s="16"/>
      <c r="F743" s="9"/>
      <c r="G743" s="9"/>
      <c r="H743" s="9"/>
    </row>
    <row r="744" spans="4:8" s="3" customFormat="1" ht="21" customHeight="1">
      <c r="D744" s="16"/>
      <c r="E744" s="16"/>
      <c r="F744" s="9"/>
      <c r="G744" s="9"/>
      <c r="H744" s="9"/>
    </row>
    <row r="745" spans="4:8" s="3" customFormat="1" ht="21" customHeight="1">
      <c r="D745" s="16"/>
      <c r="E745" s="16"/>
      <c r="F745" s="9"/>
      <c r="G745" s="9"/>
      <c r="H745" s="9"/>
    </row>
    <row r="746" spans="4:8" s="3" customFormat="1" ht="21" customHeight="1">
      <c r="D746" s="16"/>
      <c r="E746" s="16"/>
      <c r="F746" s="9"/>
      <c r="G746" s="9"/>
      <c r="H746" s="9"/>
    </row>
    <row r="747" spans="4:8" s="3" customFormat="1" ht="21" customHeight="1">
      <c r="D747" s="16"/>
      <c r="E747" s="16"/>
      <c r="F747" s="9"/>
      <c r="G747" s="9"/>
      <c r="H747" s="9"/>
    </row>
    <row r="748" spans="4:8" s="3" customFormat="1" ht="21" customHeight="1">
      <c r="D748" s="16"/>
      <c r="E748" s="16"/>
      <c r="F748" s="9"/>
      <c r="G748" s="9"/>
      <c r="H748" s="9"/>
    </row>
    <row r="749" spans="4:8" s="3" customFormat="1" ht="21" customHeight="1">
      <c r="D749" s="16"/>
      <c r="E749" s="16"/>
      <c r="F749" s="9"/>
      <c r="G749" s="9"/>
      <c r="H749" s="9"/>
    </row>
    <row r="750" spans="4:8" s="3" customFormat="1" ht="21" customHeight="1">
      <c r="D750" s="16"/>
      <c r="E750" s="16"/>
      <c r="F750" s="9"/>
      <c r="G750" s="9"/>
      <c r="H750" s="9"/>
    </row>
    <row r="751" spans="4:8" s="3" customFormat="1" ht="21" customHeight="1">
      <c r="D751" s="16"/>
      <c r="E751" s="16"/>
      <c r="F751" s="9"/>
      <c r="G751" s="9"/>
      <c r="H751" s="9"/>
    </row>
    <row r="752" spans="4:8" s="3" customFormat="1" ht="21" customHeight="1">
      <c r="D752" s="16"/>
      <c r="E752" s="16"/>
      <c r="F752" s="9"/>
      <c r="G752" s="9"/>
      <c r="H752" s="9"/>
    </row>
    <row r="753" spans="4:8" s="3" customFormat="1" ht="21" customHeight="1">
      <c r="D753" s="16"/>
      <c r="E753" s="16"/>
      <c r="F753" s="9"/>
      <c r="G753" s="9"/>
      <c r="H753" s="9"/>
    </row>
    <row r="754" spans="4:8" s="3" customFormat="1" ht="21" customHeight="1">
      <c r="D754" s="16"/>
      <c r="E754" s="16"/>
      <c r="F754" s="9"/>
      <c r="G754" s="9"/>
      <c r="H754" s="9"/>
    </row>
    <row r="755" spans="4:8" s="3" customFormat="1" ht="21" customHeight="1">
      <c r="D755" s="16"/>
      <c r="E755" s="16"/>
      <c r="F755" s="9"/>
      <c r="G755" s="9"/>
      <c r="H755" s="9"/>
    </row>
    <row r="756" spans="4:8" s="3" customFormat="1" ht="21" customHeight="1">
      <c r="D756" s="16"/>
      <c r="E756" s="16"/>
      <c r="F756" s="9"/>
      <c r="G756" s="9"/>
      <c r="H756" s="9"/>
    </row>
    <row r="757" spans="4:8" s="3" customFormat="1" ht="21" customHeight="1">
      <c r="D757" s="16"/>
      <c r="E757" s="16"/>
      <c r="F757" s="9"/>
      <c r="G757" s="9"/>
      <c r="H757" s="9"/>
    </row>
    <row r="758" spans="4:8" s="3" customFormat="1" ht="21" customHeight="1">
      <c r="D758" s="16"/>
      <c r="E758" s="16"/>
      <c r="F758" s="9"/>
      <c r="G758" s="9"/>
      <c r="H758" s="9"/>
    </row>
    <row r="759" spans="4:8" s="3" customFormat="1" ht="21" customHeight="1">
      <c r="D759" s="16"/>
      <c r="E759" s="16"/>
      <c r="F759" s="9"/>
      <c r="G759" s="9"/>
      <c r="H759" s="9"/>
    </row>
    <row r="760" spans="4:8" s="3" customFormat="1" ht="21" customHeight="1">
      <c r="D760" s="16"/>
      <c r="E760" s="16"/>
      <c r="F760" s="9"/>
      <c r="G760" s="9"/>
      <c r="H760" s="9"/>
    </row>
    <row r="761" spans="4:8" s="3" customFormat="1" ht="21" customHeight="1">
      <c r="D761" s="16"/>
      <c r="E761" s="16"/>
      <c r="F761" s="9"/>
      <c r="G761" s="9"/>
      <c r="H761" s="9"/>
    </row>
    <row r="762" spans="4:8" s="3" customFormat="1" ht="21" customHeight="1">
      <c r="D762" s="16"/>
      <c r="E762" s="16"/>
      <c r="F762" s="9"/>
      <c r="G762" s="9"/>
      <c r="H762" s="9"/>
    </row>
    <row r="763" spans="4:8" s="3" customFormat="1" ht="21" customHeight="1">
      <c r="D763" s="16"/>
      <c r="E763" s="16"/>
      <c r="F763" s="9"/>
      <c r="G763" s="9"/>
      <c r="H763" s="9"/>
    </row>
    <row r="764" spans="4:8" s="3" customFormat="1" ht="21" customHeight="1">
      <c r="D764" s="16"/>
      <c r="E764" s="16"/>
      <c r="F764" s="9"/>
      <c r="G764" s="9"/>
      <c r="H764" s="9"/>
    </row>
    <row r="765" spans="4:8" s="3" customFormat="1" ht="21" customHeight="1">
      <c r="D765" s="16"/>
      <c r="E765" s="16"/>
      <c r="F765" s="9"/>
      <c r="G765" s="9"/>
      <c r="H765" s="9"/>
    </row>
    <row r="766" spans="4:8" s="3" customFormat="1" ht="21" customHeight="1">
      <c r="D766" s="16"/>
      <c r="E766" s="16"/>
      <c r="F766" s="9"/>
      <c r="G766" s="9"/>
      <c r="H766" s="9"/>
    </row>
    <row r="767" spans="4:8" s="3" customFormat="1" ht="21" customHeight="1">
      <c r="D767" s="16"/>
      <c r="E767" s="16"/>
      <c r="F767" s="9"/>
      <c r="G767" s="9"/>
      <c r="H767" s="9"/>
    </row>
    <row r="768" spans="4:8" s="3" customFormat="1" ht="21" customHeight="1">
      <c r="D768" s="16"/>
      <c r="E768" s="16"/>
      <c r="F768" s="9"/>
      <c r="G768" s="9"/>
      <c r="H768" s="9"/>
    </row>
    <row r="769" spans="4:8" s="3" customFormat="1" ht="21" customHeight="1">
      <c r="D769" s="16"/>
      <c r="E769" s="16"/>
      <c r="F769" s="9"/>
      <c r="G769" s="9"/>
      <c r="H769" s="9"/>
    </row>
    <row r="770" spans="4:8" s="3" customFormat="1" ht="21" customHeight="1">
      <c r="D770" s="16"/>
      <c r="E770" s="16"/>
      <c r="F770" s="9"/>
      <c r="G770" s="9"/>
      <c r="H770" s="9"/>
    </row>
    <row r="771" spans="4:8" s="3" customFormat="1" ht="21" customHeight="1">
      <c r="D771" s="16"/>
      <c r="E771" s="16"/>
      <c r="F771" s="9"/>
      <c r="G771" s="9"/>
      <c r="H771" s="9"/>
    </row>
    <row r="772" spans="4:8" s="3" customFormat="1" ht="21" customHeight="1">
      <c r="D772" s="16"/>
      <c r="E772" s="16"/>
      <c r="F772" s="9"/>
      <c r="G772" s="9"/>
      <c r="H772" s="9"/>
    </row>
    <row r="773" spans="4:8" s="3" customFormat="1" ht="21" customHeight="1">
      <c r="D773" s="16"/>
      <c r="E773" s="16"/>
      <c r="F773" s="9"/>
      <c r="G773" s="9"/>
      <c r="H773" s="9"/>
    </row>
    <row r="774" spans="4:8" s="3" customFormat="1" ht="21" customHeight="1">
      <c r="D774" s="16"/>
      <c r="E774" s="16"/>
      <c r="F774" s="9"/>
      <c r="G774" s="9"/>
      <c r="H774" s="9"/>
    </row>
    <row r="775" spans="4:8" s="3" customFormat="1" ht="21" customHeight="1">
      <c r="D775" s="16"/>
      <c r="E775" s="16"/>
      <c r="F775" s="9"/>
      <c r="G775" s="9"/>
      <c r="H775" s="9"/>
    </row>
    <row r="776" spans="4:8" s="3" customFormat="1" ht="21" customHeight="1">
      <c r="D776" s="16"/>
      <c r="E776" s="16"/>
      <c r="F776" s="9"/>
      <c r="G776" s="9"/>
      <c r="H776" s="9"/>
    </row>
    <row r="777" spans="4:8" s="3" customFormat="1" ht="21" customHeight="1">
      <c r="D777" s="16"/>
      <c r="E777" s="16"/>
      <c r="F777" s="9"/>
      <c r="G777" s="9"/>
      <c r="H777" s="9"/>
    </row>
    <row r="778" spans="4:8" s="3" customFormat="1" ht="21" customHeight="1">
      <c r="D778" s="16"/>
      <c r="E778" s="16"/>
      <c r="F778" s="9"/>
      <c r="G778" s="9"/>
      <c r="H778" s="9"/>
    </row>
    <row r="779" spans="4:8" s="3" customFormat="1" ht="21" customHeight="1">
      <c r="D779" s="16"/>
      <c r="E779" s="16"/>
      <c r="F779" s="9"/>
      <c r="G779" s="9"/>
      <c r="H779" s="9"/>
    </row>
    <row r="780" spans="4:8" s="3" customFormat="1" ht="21" customHeight="1">
      <c r="D780" s="16"/>
      <c r="E780" s="16"/>
      <c r="F780" s="9"/>
      <c r="G780" s="9"/>
      <c r="H780" s="9"/>
    </row>
    <row r="781" spans="4:8" s="3" customFormat="1" ht="21" customHeight="1">
      <c r="D781" s="16"/>
      <c r="E781" s="16"/>
      <c r="F781" s="9"/>
      <c r="G781" s="9"/>
      <c r="H781" s="9"/>
    </row>
    <row r="782" spans="4:8" s="3" customFormat="1" ht="21" customHeight="1">
      <c r="D782" s="16"/>
      <c r="E782" s="16"/>
      <c r="F782" s="9"/>
      <c r="G782" s="9"/>
      <c r="H782" s="9"/>
    </row>
    <row r="783" spans="4:8" s="3" customFormat="1" ht="21" customHeight="1">
      <c r="D783" s="16"/>
      <c r="E783" s="16"/>
      <c r="F783" s="9"/>
      <c r="G783" s="9"/>
      <c r="H783" s="9"/>
    </row>
    <row r="784" spans="4:8" s="3" customFormat="1" ht="21" customHeight="1">
      <c r="D784" s="16"/>
      <c r="E784" s="16"/>
      <c r="F784" s="9"/>
      <c r="G784" s="9"/>
      <c r="H784" s="9"/>
    </row>
    <row r="785" spans="4:8" s="3" customFormat="1" ht="21" customHeight="1">
      <c r="D785" s="16"/>
      <c r="E785" s="16"/>
      <c r="F785" s="9"/>
      <c r="G785" s="9"/>
      <c r="H785" s="9"/>
    </row>
    <row r="786" spans="4:8" s="3" customFormat="1" ht="21" customHeight="1">
      <c r="D786" s="16"/>
      <c r="E786" s="16"/>
      <c r="F786" s="9"/>
      <c r="G786" s="9"/>
      <c r="H786" s="9"/>
    </row>
    <row r="787" spans="4:8" s="3" customFormat="1" ht="21" customHeight="1">
      <c r="D787" s="16"/>
      <c r="E787" s="16"/>
      <c r="F787" s="9"/>
      <c r="G787" s="9"/>
      <c r="H787" s="9"/>
    </row>
    <row r="788" spans="4:8" s="3" customFormat="1" ht="21" customHeight="1">
      <c r="D788" s="16"/>
      <c r="E788" s="16"/>
      <c r="F788" s="9"/>
      <c r="G788" s="9"/>
      <c r="H788" s="9"/>
    </row>
    <row r="789" spans="4:8" s="3" customFormat="1" ht="21" customHeight="1">
      <c r="D789" s="16"/>
      <c r="E789" s="16"/>
      <c r="F789" s="9"/>
      <c r="G789" s="9"/>
      <c r="H789" s="9"/>
    </row>
    <row r="790" spans="4:8" s="3" customFormat="1" ht="21" customHeight="1">
      <c r="D790" s="16"/>
      <c r="E790" s="16"/>
      <c r="F790" s="9"/>
      <c r="G790" s="9"/>
      <c r="H790" s="9"/>
    </row>
    <row r="791" spans="4:8" s="3" customFormat="1" ht="21" customHeight="1">
      <c r="D791" s="16"/>
      <c r="E791" s="16"/>
      <c r="F791" s="9"/>
      <c r="G791" s="9"/>
      <c r="H791" s="9"/>
    </row>
    <row r="792" spans="4:8" s="3" customFormat="1" ht="21" customHeight="1">
      <c r="D792" s="16"/>
      <c r="E792" s="16"/>
      <c r="F792" s="9"/>
      <c r="G792" s="9"/>
      <c r="H792" s="9"/>
    </row>
    <row r="793" spans="4:8" s="3" customFormat="1" ht="21" customHeight="1">
      <c r="D793" s="16"/>
      <c r="E793" s="16"/>
      <c r="F793" s="9"/>
      <c r="G793" s="9"/>
      <c r="H793" s="9"/>
    </row>
    <row r="794" spans="4:8" s="3" customFormat="1" ht="21" customHeight="1">
      <c r="D794" s="16"/>
      <c r="E794" s="16"/>
      <c r="F794" s="9"/>
      <c r="G794" s="9"/>
      <c r="H794" s="9"/>
    </row>
    <row r="795" spans="4:8" s="3" customFormat="1" ht="21" customHeight="1">
      <c r="D795" s="16"/>
      <c r="E795" s="16"/>
      <c r="F795" s="9"/>
      <c r="G795" s="9"/>
      <c r="H795" s="9"/>
    </row>
    <row r="796" spans="4:8" s="3" customFormat="1" ht="21" customHeight="1">
      <c r="D796" s="16"/>
      <c r="E796" s="16"/>
      <c r="F796" s="9"/>
      <c r="G796" s="9"/>
      <c r="H796" s="9"/>
    </row>
    <row r="797" spans="4:8" s="3" customFormat="1" ht="21" customHeight="1">
      <c r="D797" s="16"/>
      <c r="E797" s="16"/>
      <c r="F797" s="9"/>
      <c r="G797" s="9"/>
      <c r="H797" s="9"/>
    </row>
    <row r="798" spans="4:8" s="3" customFormat="1" ht="21" customHeight="1">
      <c r="D798" s="16"/>
      <c r="E798" s="16"/>
      <c r="F798" s="9"/>
      <c r="G798" s="9"/>
      <c r="H798" s="9"/>
    </row>
    <row r="799" spans="4:8" s="3" customFormat="1" ht="21" customHeight="1">
      <c r="D799" s="16"/>
      <c r="E799" s="16"/>
      <c r="F799" s="9"/>
      <c r="G799" s="9"/>
      <c r="H799" s="9"/>
    </row>
    <row r="800" spans="4:8" s="3" customFormat="1" ht="21" customHeight="1">
      <c r="D800" s="16"/>
      <c r="E800" s="16"/>
      <c r="F800" s="9"/>
      <c r="G800" s="9"/>
      <c r="H800" s="9"/>
    </row>
    <row r="801" spans="4:8" s="3" customFormat="1" ht="21" customHeight="1">
      <c r="D801" s="16"/>
      <c r="E801" s="16"/>
      <c r="F801" s="9"/>
      <c r="G801" s="9"/>
      <c r="H801" s="9"/>
    </row>
    <row r="802" spans="4:8" s="3" customFormat="1" ht="21" customHeight="1">
      <c r="D802" s="16"/>
      <c r="E802" s="16"/>
      <c r="F802" s="9"/>
      <c r="G802" s="9"/>
      <c r="H802" s="9"/>
    </row>
    <row r="803" spans="4:8" s="3" customFormat="1" ht="21" customHeight="1">
      <c r="D803" s="16"/>
      <c r="E803" s="16"/>
      <c r="F803" s="9"/>
      <c r="G803" s="9"/>
      <c r="H803" s="9"/>
    </row>
    <row r="804" spans="4:8" s="3" customFormat="1" ht="21" customHeight="1">
      <c r="D804" s="16"/>
      <c r="E804" s="16"/>
      <c r="F804" s="9"/>
      <c r="G804" s="9"/>
      <c r="H804" s="9"/>
    </row>
    <row r="805" spans="4:8" s="3" customFormat="1" ht="21" customHeight="1">
      <c r="D805" s="16"/>
      <c r="E805" s="16"/>
      <c r="F805" s="9"/>
      <c r="G805" s="9"/>
      <c r="H805" s="9"/>
    </row>
    <row r="806" spans="4:8" s="3" customFormat="1" ht="21" customHeight="1">
      <c r="D806" s="16"/>
      <c r="E806" s="16"/>
      <c r="F806" s="9"/>
      <c r="G806" s="9"/>
      <c r="H806" s="9"/>
    </row>
    <row r="807" spans="4:8" s="3" customFormat="1" ht="21" customHeight="1">
      <c r="D807" s="16"/>
      <c r="E807" s="16"/>
      <c r="F807" s="9"/>
      <c r="G807" s="9"/>
      <c r="H807" s="9"/>
    </row>
    <row r="808" spans="4:8" s="3" customFormat="1" ht="21" customHeight="1">
      <c r="D808" s="16"/>
      <c r="E808" s="16"/>
      <c r="F808" s="9"/>
      <c r="G808" s="9"/>
      <c r="H808" s="9"/>
    </row>
    <row r="809" spans="4:8" s="3" customFormat="1" ht="21" customHeight="1">
      <c r="D809" s="16"/>
      <c r="E809" s="16"/>
      <c r="F809" s="9"/>
      <c r="G809" s="9"/>
      <c r="H809" s="9"/>
    </row>
    <row r="810" spans="4:8" s="3" customFormat="1" ht="21" customHeight="1">
      <c r="D810" s="16"/>
      <c r="E810" s="16"/>
      <c r="F810" s="9"/>
      <c r="G810" s="9"/>
      <c r="H810" s="9"/>
    </row>
    <row r="811" spans="4:8" s="3" customFormat="1" ht="21" customHeight="1">
      <c r="D811" s="16"/>
      <c r="E811" s="16"/>
      <c r="F811" s="9"/>
      <c r="G811" s="9"/>
      <c r="H811" s="9"/>
    </row>
    <row r="812" spans="4:8" s="3" customFormat="1" ht="21" customHeight="1">
      <c r="D812" s="16"/>
      <c r="E812" s="16"/>
      <c r="F812" s="9"/>
      <c r="G812" s="9"/>
      <c r="H812" s="9"/>
    </row>
    <row r="813" spans="4:8" s="3" customFormat="1" ht="21" customHeight="1">
      <c r="D813" s="16"/>
      <c r="E813" s="16"/>
      <c r="F813" s="9"/>
      <c r="G813" s="9"/>
      <c r="H813" s="9"/>
    </row>
    <row r="814" spans="4:8" s="3" customFormat="1" ht="21" customHeight="1">
      <c r="D814" s="16"/>
      <c r="E814" s="16"/>
      <c r="F814" s="9"/>
      <c r="G814" s="9"/>
      <c r="H814" s="9"/>
    </row>
    <row r="815" spans="4:8" s="3" customFormat="1" ht="21" customHeight="1">
      <c r="D815" s="16"/>
      <c r="E815" s="16"/>
      <c r="F815" s="9"/>
      <c r="G815" s="9"/>
      <c r="H815" s="9"/>
    </row>
    <row r="816" spans="4:8" s="3" customFormat="1" ht="21" customHeight="1">
      <c r="D816" s="16"/>
      <c r="E816" s="16"/>
      <c r="F816" s="9"/>
      <c r="G816" s="9"/>
      <c r="H816" s="9"/>
    </row>
    <row r="817" spans="4:8" s="3" customFormat="1" ht="21" customHeight="1">
      <c r="D817" s="16"/>
      <c r="E817" s="16"/>
      <c r="F817" s="9"/>
      <c r="G817" s="9"/>
      <c r="H817" s="9"/>
    </row>
    <row r="818" spans="4:8" s="3" customFormat="1" ht="21" customHeight="1">
      <c r="D818" s="16"/>
      <c r="E818" s="16"/>
      <c r="F818" s="9"/>
      <c r="G818" s="9"/>
      <c r="H818" s="9"/>
    </row>
    <row r="819" spans="4:8" s="3" customFormat="1" ht="21" customHeight="1">
      <c r="D819" s="16"/>
      <c r="E819" s="16"/>
      <c r="F819" s="9"/>
      <c r="G819" s="9"/>
      <c r="H819" s="9"/>
    </row>
    <row r="820" spans="4:8" s="3" customFormat="1" ht="21" customHeight="1">
      <c r="D820" s="16"/>
      <c r="E820" s="16"/>
      <c r="F820" s="9"/>
      <c r="G820" s="9"/>
      <c r="H820" s="9"/>
    </row>
    <row r="821" spans="4:8" s="3" customFormat="1" ht="21" customHeight="1">
      <c r="D821" s="16"/>
      <c r="E821" s="16"/>
      <c r="F821" s="9"/>
      <c r="G821" s="9"/>
      <c r="H821" s="9"/>
    </row>
    <row r="822" spans="4:8" s="3" customFormat="1" ht="21" customHeight="1">
      <c r="D822" s="16"/>
      <c r="E822" s="16"/>
      <c r="F822" s="9"/>
      <c r="G822" s="9"/>
      <c r="H822" s="9"/>
    </row>
    <row r="823" spans="4:8" s="3" customFormat="1" ht="21" customHeight="1">
      <c r="D823" s="16"/>
      <c r="E823" s="16"/>
      <c r="F823" s="9"/>
      <c r="G823" s="9"/>
      <c r="H823" s="9"/>
    </row>
    <row r="824" spans="4:8" s="3" customFormat="1" ht="21" customHeight="1">
      <c r="D824" s="16"/>
      <c r="E824" s="16"/>
      <c r="F824" s="9"/>
      <c r="G824" s="9"/>
      <c r="H824" s="9"/>
    </row>
    <row r="825" spans="4:8" s="3" customFormat="1" ht="21" customHeight="1">
      <c r="D825" s="16"/>
      <c r="E825" s="16"/>
      <c r="F825" s="9"/>
      <c r="G825" s="9"/>
      <c r="H825" s="9"/>
    </row>
    <row r="826" spans="4:8" s="3" customFormat="1" ht="21" customHeight="1">
      <c r="D826" s="16"/>
      <c r="E826" s="16"/>
      <c r="F826" s="9"/>
      <c r="G826" s="9"/>
      <c r="H826" s="9"/>
    </row>
    <row r="827" spans="4:8" s="3" customFormat="1" ht="21" customHeight="1">
      <c r="D827" s="16"/>
      <c r="E827" s="16"/>
      <c r="F827" s="9"/>
      <c r="G827" s="9"/>
      <c r="H827" s="9"/>
    </row>
    <row r="828" spans="4:8" s="3" customFormat="1" ht="21" customHeight="1">
      <c r="D828" s="16"/>
      <c r="E828" s="16"/>
      <c r="F828" s="9"/>
      <c r="G828" s="9"/>
      <c r="H828" s="9"/>
    </row>
    <row r="829" spans="4:8" s="3" customFormat="1" ht="21" customHeight="1">
      <c r="D829" s="16"/>
      <c r="E829" s="16"/>
      <c r="F829" s="9"/>
      <c r="G829" s="9"/>
      <c r="H829" s="9"/>
    </row>
    <row r="830" spans="4:8" s="3" customFormat="1" ht="21" customHeight="1">
      <c r="D830" s="16"/>
      <c r="E830" s="16"/>
      <c r="F830" s="9"/>
      <c r="G830" s="9"/>
      <c r="H830" s="9"/>
    </row>
    <row r="831" spans="4:8" s="3" customFormat="1" ht="21" customHeight="1">
      <c r="D831" s="16"/>
      <c r="E831" s="16"/>
      <c r="F831" s="9"/>
      <c r="G831" s="9"/>
      <c r="H831" s="9"/>
    </row>
    <row r="832" spans="4:8" s="3" customFormat="1" ht="21" customHeight="1">
      <c r="D832" s="16"/>
      <c r="E832" s="16"/>
      <c r="F832" s="9"/>
      <c r="G832" s="9"/>
      <c r="H832" s="9"/>
    </row>
    <row r="833" spans="4:8" s="3" customFormat="1" ht="21" customHeight="1">
      <c r="D833" s="16"/>
      <c r="E833" s="16"/>
      <c r="F833" s="9"/>
      <c r="G833" s="9"/>
      <c r="H833" s="9"/>
    </row>
    <row r="834" spans="4:8" s="3" customFormat="1" ht="21" customHeight="1">
      <c r="D834" s="16"/>
      <c r="E834" s="16"/>
      <c r="F834" s="9"/>
      <c r="G834" s="9"/>
      <c r="H834" s="9"/>
    </row>
    <row r="835" spans="4:8" s="3" customFormat="1" ht="21" customHeight="1">
      <c r="D835" s="16"/>
      <c r="E835" s="16"/>
      <c r="F835" s="9"/>
      <c r="G835" s="9"/>
      <c r="H835" s="9"/>
    </row>
    <row r="836" spans="4:8" s="3" customFormat="1" ht="21" customHeight="1">
      <c r="D836" s="16"/>
      <c r="E836" s="16"/>
      <c r="F836" s="9"/>
      <c r="G836" s="9"/>
      <c r="H836" s="9"/>
    </row>
    <row r="837" spans="4:8" s="3" customFormat="1" ht="21" customHeight="1">
      <c r="D837" s="16"/>
      <c r="E837" s="16"/>
      <c r="F837" s="9"/>
      <c r="G837" s="9"/>
      <c r="H837" s="9"/>
    </row>
    <row r="838" spans="4:8" s="3" customFormat="1" ht="21" customHeight="1">
      <c r="D838" s="16"/>
      <c r="E838" s="16"/>
      <c r="F838" s="9"/>
      <c r="G838" s="9"/>
      <c r="H838" s="9"/>
    </row>
    <row r="839" spans="4:8" s="3" customFormat="1" ht="21" customHeight="1">
      <c r="D839" s="16"/>
      <c r="E839" s="16"/>
      <c r="F839" s="9"/>
      <c r="G839" s="9"/>
      <c r="H839" s="9"/>
    </row>
    <row r="840" spans="4:8" s="3" customFormat="1" ht="21" customHeight="1">
      <c r="D840" s="16"/>
      <c r="E840" s="16"/>
      <c r="F840" s="9"/>
      <c r="G840" s="9"/>
      <c r="H840" s="9"/>
    </row>
    <row r="841" spans="4:8" s="3" customFormat="1" ht="21" customHeight="1">
      <c r="D841" s="16"/>
      <c r="E841" s="16"/>
      <c r="F841" s="9"/>
      <c r="G841" s="9"/>
      <c r="H841" s="9"/>
    </row>
    <row r="842" spans="4:8" s="3" customFormat="1" ht="21" customHeight="1">
      <c r="D842" s="16"/>
      <c r="E842" s="16"/>
      <c r="F842" s="9"/>
      <c r="G842" s="9"/>
      <c r="H842" s="9"/>
    </row>
    <row r="843" spans="4:8" s="3" customFormat="1" ht="21" customHeight="1">
      <c r="D843" s="16"/>
      <c r="E843" s="16"/>
      <c r="F843" s="9"/>
      <c r="G843" s="9"/>
      <c r="H843" s="9"/>
    </row>
    <row r="844" spans="4:8" s="3" customFormat="1" ht="21" customHeight="1">
      <c r="D844" s="16"/>
      <c r="E844" s="16"/>
      <c r="F844" s="9"/>
      <c r="G844" s="9"/>
      <c r="H844" s="9"/>
    </row>
    <row r="845" spans="4:8" s="3" customFormat="1" ht="21" customHeight="1">
      <c r="D845" s="16"/>
      <c r="E845" s="16"/>
      <c r="F845" s="9"/>
      <c r="G845" s="9"/>
      <c r="H845" s="9"/>
    </row>
    <row r="846" spans="4:8" s="3" customFormat="1" ht="21" customHeight="1">
      <c r="D846" s="16"/>
      <c r="E846" s="16"/>
      <c r="F846" s="9"/>
      <c r="G846" s="9"/>
      <c r="H846" s="9"/>
    </row>
    <row r="847" spans="4:8" s="3" customFormat="1" ht="21" customHeight="1">
      <c r="D847" s="16"/>
      <c r="E847" s="16"/>
      <c r="F847" s="9"/>
      <c r="G847" s="9"/>
      <c r="H847" s="9"/>
    </row>
    <row r="848" spans="4:8" s="3" customFormat="1" ht="21" customHeight="1">
      <c r="D848" s="16"/>
      <c r="E848" s="16"/>
      <c r="F848" s="9"/>
      <c r="G848" s="9"/>
      <c r="H848" s="9"/>
    </row>
    <row r="849" spans="4:8" s="3" customFormat="1" ht="21" customHeight="1">
      <c r="D849" s="16"/>
      <c r="E849" s="16"/>
      <c r="F849" s="9"/>
      <c r="G849" s="9"/>
      <c r="H849" s="9"/>
    </row>
    <row r="850" spans="4:8" s="3" customFormat="1" ht="21" customHeight="1">
      <c r="D850" s="16"/>
      <c r="E850" s="16"/>
      <c r="F850" s="9"/>
      <c r="G850" s="9"/>
      <c r="H850" s="9"/>
    </row>
    <row r="851" spans="4:8" s="3" customFormat="1" ht="21" customHeight="1">
      <c r="D851" s="16"/>
      <c r="E851" s="16"/>
      <c r="F851" s="9"/>
      <c r="G851" s="9"/>
      <c r="H851" s="9"/>
    </row>
    <row r="852" spans="4:8" s="3" customFormat="1" ht="21" customHeight="1">
      <c r="D852" s="16"/>
      <c r="E852" s="16"/>
      <c r="F852" s="9"/>
      <c r="G852" s="9"/>
      <c r="H852" s="9"/>
    </row>
    <row r="853" spans="4:8" s="3" customFormat="1" ht="21" customHeight="1">
      <c r="D853" s="16"/>
      <c r="E853" s="16"/>
      <c r="F853" s="9"/>
      <c r="G853" s="9"/>
      <c r="H853" s="9"/>
    </row>
    <row r="854" spans="4:8" s="3" customFormat="1" ht="21" customHeight="1">
      <c r="D854" s="16"/>
      <c r="E854" s="16"/>
      <c r="F854" s="9"/>
      <c r="G854" s="9"/>
      <c r="H854" s="9"/>
    </row>
    <row r="855" spans="4:8" s="3" customFormat="1" ht="21" customHeight="1">
      <c r="D855" s="16"/>
      <c r="E855" s="16"/>
      <c r="F855" s="9"/>
      <c r="G855" s="9"/>
      <c r="H855" s="9"/>
    </row>
    <row r="856" spans="4:8" s="3" customFormat="1" ht="21" customHeight="1">
      <c r="D856" s="16"/>
      <c r="E856" s="16"/>
      <c r="F856" s="9"/>
      <c r="G856" s="9"/>
      <c r="H856" s="9"/>
    </row>
    <row r="857" spans="4:8" s="3" customFormat="1" ht="21" customHeight="1">
      <c r="D857" s="16"/>
      <c r="E857" s="16"/>
      <c r="F857" s="9"/>
      <c r="G857" s="9"/>
      <c r="H857" s="9"/>
    </row>
    <row r="858" spans="4:8" s="3" customFormat="1" ht="21" customHeight="1">
      <c r="D858" s="16"/>
      <c r="E858" s="16"/>
      <c r="F858" s="9"/>
      <c r="G858" s="9"/>
      <c r="H858" s="9"/>
    </row>
    <row r="859" spans="4:8" s="3" customFormat="1" ht="21" customHeight="1">
      <c r="D859" s="16"/>
      <c r="E859" s="16"/>
      <c r="F859" s="9"/>
      <c r="G859" s="9"/>
      <c r="H859" s="9"/>
    </row>
    <row r="860" spans="4:8" s="3" customFormat="1" ht="21" customHeight="1">
      <c r="D860" s="16"/>
      <c r="E860" s="16"/>
      <c r="F860" s="9"/>
      <c r="G860" s="9"/>
      <c r="H860" s="9"/>
    </row>
    <row r="861" spans="4:8" s="3" customFormat="1" ht="21" customHeight="1">
      <c r="D861" s="16"/>
      <c r="E861" s="16"/>
      <c r="F861" s="9"/>
      <c r="G861" s="9"/>
      <c r="H861" s="9"/>
    </row>
    <row r="862" spans="4:8" s="3" customFormat="1" ht="21" customHeight="1">
      <c r="D862" s="16"/>
      <c r="E862" s="16"/>
      <c r="F862" s="9"/>
      <c r="G862" s="9"/>
      <c r="H862" s="9"/>
    </row>
    <row r="863" spans="4:8" s="3" customFormat="1" ht="21" customHeight="1">
      <c r="D863" s="16"/>
      <c r="E863" s="16"/>
      <c r="F863" s="9"/>
      <c r="G863" s="9"/>
      <c r="H863" s="9"/>
    </row>
    <row r="864" spans="4:8" s="3" customFormat="1" ht="21" customHeight="1">
      <c r="D864" s="16"/>
      <c r="E864" s="16"/>
      <c r="F864" s="9"/>
      <c r="G864" s="9"/>
      <c r="H864" s="9"/>
    </row>
    <row r="865" spans="4:8" s="3" customFormat="1" ht="21" customHeight="1">
      <c r="D865" s="16"/>
      <c r="E865" s="16"/>
      <c r="F865" s="9"/>
      <c r="G865" s="9"/>
      <c r="H865" s="9"/>
    </row>
    <row r="866" spans="4:8" s="3" customFormat="1" ht="21" customHeight="1">
      <c r="D866" s="16"/>
      <c r="E866" s="16"/>
      <c r="F866" s="9"/>
      <c r="G866" s="9"/>
      <c r="H866" s="9"/>
    </row>
    <row r="867" spans="4:8" s="3" customFormat="1" ht="21" customHeight="1">
      <c r="D867" s="16"/>
      <c r="E867" s="16"/>
      <c r="F867" s="9"/>
      <c r="G867" s="9"/>
      <c r="H867" s="9"/>
    </row>
    <row r="868" spans="4:8" s="3" customFormat="1" ht="21" customHeight="1">
      <c r="D868" s="16"/>
      <c r="E868" s="16"/>
      <c r="F868" s="9"/>
      <c r="G868" s="9"/>
      <c r="H868" s="9"/>
    </row>
    <row r="869" spans="4:8" s="3" customFormat="1" ht="21" customHeight="1">
      <c r="D869" s="16"/>
      <c r="E869" s="16"/>
      <c r="F869" s="9"/>
      <c r="G869" s="9"/>
      <c r="H869" s="9"/>
    </row>
    <row r="870" spans="4:8" s="3" customFormat="1" ht="21" customHeight="1">
      <c r="D870" s="16"/>
      <c r="E870" s="16"/>
      <c r="F870" s="9"/>
      <c r="G870" s="9"/>
      <c r="H870" s="9"/>
    </row>
    <row r="871" spans="4:8" s="3" customFormat="1" ht="21" customHeight="1">
      <c r="D871" s="16"/>
      <c r="E871" s="16"/>
      <c r="F871" s="9"/>
      <c r="G871" s="9"/>
      <c r="H871" s="9"/>
    </row>
    <row r="872" spans="4:8" s="3" customFormat="1" ht="21" customHeight="1">
      <c r="D872" s="16"/>
      <c r="E872" s="16"/>
      <c r="F872" s="9"/>
      <c r="G872" s="9"/>
      <c r="H872" s="9"/>
    </row>
    <row r="873" spans="4:8" s="3" customFormat="1" ht="21" customHeight="1">
      <c r="D873" s="16"/>
      <c r="E873" s="16"/>
      <c r="F873" s="9"/>
      <c r="G873" s="9"/>
      <c r="H873" s="9"/>
    </row>
    <row r="874" spans="4:8" s="3" customFormat="1" ht="21" customHeight="1">
      <c r="D874" s="16"/>
      <c r="E874" s="16"/>
      <c r="F874" s="9"/>
      <c r="G874" s="9"/>
      <c r="H874" s="9"/>
    </row>
    <row r="875" spans="4:8" s="3" customFormat="1" ht="21" customHeight="1">
      <c r="D875" s="16"/>
      <c r="E875" s="16"/>
      <c r="F875" s="9"/>
      <c r="G875" s="9"/>
      <c r="H875" s="9"/>
    </row>
    <row r="876" spans="4:8" s="3" customFormat="1" ht="21" customHeight="1">
      <c r="D876" s="16"/>
      <c r="E876" s="16"/>
      <c r="F876" s="9"/>
      <c r="G876" s="9"/>
      <c r="H876" s="9"/>
    </row>
    <row r="877" spans="4:8" s="3" customFormat="1" ht="21" customHeight="1">
      <c r="D877" s="16"/>
      <c r="E877" s="16"/>
      <c r="F877" s="9"/>
      <c r="G877" s="9"/>
      <c r="H877" s="9"/>
    </row>
    <row r="878" spans="4:8" s="3" customFormat="1" ht="21" customHeight="1">
      <c r="D878" s="16"/>
      <c r="E878" s="16"/>
      <c r="F878" s="9"/>
      <c r="G878" s="9"/>
      <c r="H878" s="9"/>
    </row>
    <row r="879" spans="4:8" s="3" customFormat="1" ht="21" customHeight="1">
      <c r="D879" s="16"/>
      <c r="E879" s="16"/>
      <c r="F879" s="9"/>
      <c r="G879" s="9"/>
      <c r="H879" s="9"/>
    </row>
    <row r="880" spans="4:8" s="3" customFormat="1" ht="21" customHeight="1">
      <c r="D880" s="16"/>
      <c r="E880" s="16"/>
      <c r="F880" s="9"/>
      <c r="G880" s="9"/>
      <c r="H880" s="9"/>
    </row>
    <row r="881" spans="4:8" s="3" customFormat="1" ht="21" customHeight="1">
      <c r="D881" s="16"/>
      <c r="E881" s="16"/>
      <c r="F881" s="9"/>
      <c r="G881" s="9"/>
      <c r="H881" s="9"/>
    </row>
    <row r="882" spans="4:8" s="3" customFormat="1" ht="21" customHeight="1">
      <c r="D882" s="16"/>
      <c r="E882" s="16"/>
      <c r="F882" s="9"/>
      <c r="G882" s="9"/>
      <c r="H882" s="9"/>
    </row>
    <row r="883" spans="4:8" s="3" customFormat="1" ht="21" customHeight="1">
      <c r="D883" s="16"/>
      <c r="E883" s="16"/>
      <c r="F883" s="9"/>
      <c r="G883" s="9"/>
      <c r="H883" s="9"/>
    </row>
    <row r="884" spans="4:8" s="3" customFormat="1" ht="21" customHeight="1">
      <c r="D884" s="16"/>
      <c r="E884" s="16"/>
      <c r="F884" s="9"/>
      <c r="G884" s="9"/>
      <c r="H884" s="9"/>
    </row>
    <row r="885" spans="4:8" s="3" customFormat="1" ht="21" customHeight="1">
      <c r="D885" s="16"/>
      <c r="E885" s="16"/>
      <c r="F885" s="9"/>
      <c r="G885" s="9"/>
      <c r="H885" s="9"/>
    </row>
    <row r="886" spans="4:8" s="3" customFormat="1" ht="21" customHeight="1">
      <c r="D886" s="16"/>
      <c r="E886" s="16"/>
      <c r="F886" s="9"/>
      <c r="G886" s="9"/>
      <c r="H886" s="9"/>
    </row>
    <row r="887" spans="4:8" s="3" customFormat="1" ht="21" customHeight="1">
      <c r="D887" s="16"/>
      <c r="E887" s="16"/>
      <c r="F887" s="9"/>
      <c r="G887" s="9"/>
      <c r="H887" s="9"/>
    </row>
    <row r="888" spans="4:8" s="3" customFormat="1" ht="21" customHeight="1">
      <c r="D888" s="16"/>
      <c r="E888" s="16"/>
      <c r="F888" s="9"/>
      <c r="G888" s="9"/>
      <c r="H888" s="9"/>
    </row>
    <row r="889" spans="4:8" s="3" customFormat="1" ht="21" customHeight="1">
      <c r="D889" s="16"/>
      <c r="E889" s="16"/>
      <c r="F889" s="9"/>
      <c r="G889" s="9"/>
      <c r="H889" s="9"/>
    </row>
    <row r="890" spans="4:8" s="3" customFormat="1" ht="21" customHeight="1">
      <c r="D890" s="16"/>
      <c r="E890" s="16"/>
      <c r="F890" s="9"/>
      <c r="G890" s="9"/>
      <c r="H890" s="9"/>
    </row>
    <row r="891" spans="4:8" s="3" customFormat="1" ht="21" customHeight="1">
      <c r="D891" s="16"/>
      <c r="E891" s="16"/>
      <c r="F891" s="9"/>
      <c r="G891" s="9"/>
      <c r="H891" s="9"/>
    </row>
    <row r="892" spans="4:8" s="3" customFormat="1" ht="21" customHeight="1">
      <c r="D892" s="16"/>
      <c r="E892" s="16"/>
      <c r="F892" s="9"/>
      <c r="G892" s="9"/>
      <c r="H892" s="9"/>
    </row>
    <row r="893" spans="4:8" s="3" customFormat="1" ht="21" customHeight="1">
      <c r="D893" s="16"/>
      <c r="E893" s="16"/>
      <c r="F893" s="9"/>
      <c r="G893" s="9"/>
      <c r="H893" s="9"/>
    </row>
    <row r="894" spans="4:8" s="3" customFormat="1" ht="21" customHeight="1">
      <c r="D894" s="16"/>
      <c r="E894" s="16"/>
      <c r="F894" s="9"/>
      <c r="G894" s="9"/>
      <c r="H894" s="9"/>
    </row>
    <row r="895" spans="4:8" s="3" customFormat="1" ht="21" customHeight="1">
      <c r="D895" s="16"/>
      <c r="E895" s="16"/>
      <c r="F895" s="9"/>
      <c r="G895" s="9"/>
      <c r="H895" s="9"/>
    </row>
    <row r="896" spans="4:8" s="3" customFormat="1" ht="21" customHeight="1">
      <c r="D896" s="16"/>
      <c r="E896" s="16"/>
      <c r="F896" s="9"/>
      <c r="G896" s="9"/>
      <c r="H896" s="9"/>
    </row>
    <row r="897" spans="4:8" s="3" customFormat="1" ht="21" customHeight="1">
      <c r="D897" s="16"/>
      <c r="E897" s="16"/>
      <c r="F897" s="9"/>
      <c r="G897" s="9"/>
      <c r="H897" s="9"/>
    </row>
    <row r="898" spans="4:8" s="3" customFormat="1" ht="21" customHeight="1">
      <c r="D898" s="16"/>
      <c r="E898" s="16"/>
      <c r="F898" s="9"/>
      <c r="G898" s="9"/>
      <c r="H898" s="9"/>
    </row>
    <row r="899" spans="4:8" s="3" customFormat="1" ht="21" customHeight="1">
      <c r="D899" s="16"/>
      <c r="E899" s="16"/>
      <c r="F899" s="9"/>
      <c r="G899" s="9"/>
      <c r="H899" s="9"/>
    </row>
    <row r="900" spans="4:8" s="3" customFormat="1" ht="21" customHeight="1">
      <c r="D900" s="16"/>
      <c r="E900" s="16"/>
      <c r="F900" s="9"/>
      <c r="G900" s="9"/>
      <c r="H900" s="9"/>
    </row>
    <row r="901" spans="4:8" s="3" customFormat="1" ht="21" customHeight="1">
      <c r="D901" s="16"/>
      <c r="E901" s="16"/>
      <c r="F901" s="9"/>
      <c r="G901" s="9"/>
      <c r="H901" s="9"/>
    </row>
    <row r="902" spans="4:8" s="3" customFormat="1" ht="21" customHeight="1">
      <c r="D902" s="16"/>
      <c r="E902" s="16"/>
      <c r="F902" s="9"/>
      <c r="G902" s="9"/>
      <c r="H902" s="9"/>
    </row>
    <row r="903" spans="4:8" s="3" customFormat="1" ht="21" customHeight="1">
      <c r="D903" s="16"/>
      <c r="E903" s="16"/>
      <c r="F903" s="9"/>
      <c r="G903" s="9"/>
      <c r="H903" s="9"/>
    </row>
    <row r="904" spans="4:8" s="3" customFormat="1" ht="21" customHeight="1">
      <c r="D904" s="16"/>
      <c r="E904" s="16"/>
      <c r="F904" s="9"/>
      <c r="G904" s="9"/>
      <c r="H904" s="9"/>
    </row>
    <row r="905" spans="4:8" s="3" customFormat="1" ht="21" customHeight="1">
      <c r="D905" s="16"/>
      <c r="E905" s="16"/>
      <c r="F905" s="9"/>
      <c r="G905" s="9"/>
      <c r="H905" s="9"/>
    </row>
    <row r="906" spans="4:8" s="3" customFormat="1" ht="21" customHeight="1">
      <c r="D906" s="16"/>
      <c r="E906" s="16"/>
      <c r="F906" s="9"/>
      <c r="G906" s="9"/>
      <c r="H906" s="9"/>
    </row>
    <row r="907" spans="4:8" s="3" customFormat="1" ht="21" customHeight="1">
      <c r="D907" s="16"/>
      <c r="E907" s="16"/>
      <c r="F907" s="9"/>
      <c r="G907" s="9"/>
      <c r="H907" s="9"/>
    </row>
    <row r="908" spans="4:8" s="3" customFormat="1" ht="21" customHeight="1">
      <c r="D908" s="16"/>
      <c r="E908" s="16"/>
      <c r="F908" s="9"/>
      <c r="G908" s="9"/>
      <c r="H908" s="9"/>
    </row>
    <row r="909" spans="4:8" s="3" customFormat="1" ht="21" customHeight="1">
      <c r="D909" s="16"/>
      <c r="E909" s="16"/>
      <c r="F909" s="9"/>
      <c r="G909" s="9"/>
      <c r="H909" s="9"/>
    </row>
    <row r="910" spans="4:8" s="3" customFormat="1" ht="21" customHeight="1">
      <c r="D910" s="16"/>
      <c r="E910" s="16"/>
      <c r="F910" s="9"/>
      <c r="G910" s="9"/>
      <c r="H910" s="9"/>
    </row>
    <row r="911" spans="4:8" s="3" customFormat="1" ht="21" customHeight="1">
      <c r="D911" s="16"/>
      <c r="E911" s="16"/>
      <c r="F911" s="9"/>
      <c r="G911" s="9"/>
      <c r="H911" s="9"/>
    </row>
    <row r="912" spans="4:8" s="3" customFormat="1" ht="21" customHeight="1">
      <c r="D912" s="16"/>
      <c r="E912" s="16"/>
      <c r="F912" s="9"/>
      <c r="G912" s="9"/>
      <c r="H912" s="9"/>
    </row>
    <row r="913" spans="4:8" s="3" customFormat="1" ht="21" customHeight="1">
      <c r="D913" s="16"/>
      <c r="E913" s="16"/>
      <c r="F913" s="9"/>
      <c r="G913" s="9"/>
      <c r="H913" s="9"/>
    </row>
    <row r="914" spans="4:8" s="3" customFormat="1" ht="21" customHeight="1">
      <c r="D914" s="16"/>
      <c r="E914" s="16"/>
      <c r="F914" s="9"/>
      <c r="G914" s="9"/>
      <c r="H914" s="9"/>
    </row>
    <row r="915" spans="4:8" s="3" customFormat="1" ht="21" customHeight="1">
      <c r="D915" s="16"/>
      <c r="E915" s="16"/>
      <c r="F915" s="9"/>
      <c r="G915" s="9"/>
      <c r="H915" s="9"/>
    </row>
    <row r="916" spans="4:8" s="3" customFormat="1" ht="21" customHeight="1">
      <c r="D916" s="16"/>
      <c r="E916" s="16"/>
      <c r="F916" s="9"/>
      <c r="G916" s="9"/>
      <c r="H916" s="9"/>
    </row>
    <row r="917" spans="4:8" s="3" customFormat="1" ht="21" customHeight="1">
      <c r="D917" s="16"/>
      <c r="E917" s="16"/>
      <c r="F917" s="9"/>
      <c r="G917" s="9"/>
      <c r="H917" s="9"/>
    </row>
    <row r="918" spans="4:8" s="3" customFormat="1" ht="21" customHeight="1">
      <c r="D918" s="16"/>
      <c r="E918" s="16"/>
      <c r="F918" s="9"/>
      <c r="G918" s="9"/>
      <c r="H918" s="9"/>
    </row>
    <row r="919" spans="4:8" s="3" customFormat="1" ht="21" customHeight="1">
      <c r="D919" s="16"/>
      <c r="E919" s="16"/>
      <c r="F919" s="9"/>
      <c r="G919" s="9"/>
      <c r="H919" s="9"/>
    </row>
    <row r="920" spans="4:8" s="3" customFormat="1" ht="21" customHeight="1">
      <c r="D920" s="16"/>
      <c r="E920" s="16"/>
      <c r="F920" s="9"/>
      <c r="G920" s="9"/>
      <c r="H920" s="9"/>
    </row>
    <row r="921" spans="4:8" s="3" customFormat="1" ht="21" customHeight="1">
      <c r="D921" s="16"/>
      <c r="E921" s="16"/>
      <c r="F921" s="9"/>
      <c r="G921" s="9"/>
      <c r="H921" s="9"/>
    </row>
    <row r="922" spans="4:8" s="3" customFormat="1" ht="21" customHeight="1">
      <c r="D922" s="16"/>
      <c r="E922" s="16"/>
      <c r="F922" s="9"/>
      <c r="G922" s="9"/>
      <c r="H922" s="9"/>
    </row>
    <row r="923" spans="4:8" s="3" customFormat="1" ht="21" customHeight="1">
      <c r="D923" s="16"/>
      <c r="E923" s="16"/>
      <c r="F923" s="9"/>
      <c r="G923" s="9"/>
      <c r="H923" s="9"/>
    </row>
    <row r="924" spans="4:8" s="3" customFormat="1" ht="21" customHeight="1">
      <c r="D924" s="16"/>
      <c r="E924" s="16"/>
      <c r="F924" s="9"/>
      <c r="G924" s="9"/>
      <c r="H924" s="9"/>
    </row>
    <row r="925" spans="4:8" s="3" customFormat="1" ht="21" customHeight="1">
      <c r="D925" s="16"/>
      <c r="E925" s="16"/>
      <c r="F925" s="9"/>
      <c r="G925" s="9"/>
      <c r="H925" s="9"/>
    </row>
    <row r="926" spans="4:8" s="3" customFormat="1" ht="21" customHeight="1">
      <c r="D926" s="16"/>
      <c r="E926" s="16"/>
      <c r="F926" s="9"/>
      <c r="G926" s="9"/>
      <c r="H926" s="9"/>
    </row>
    <row r="927" spans="4:8" s="3" customFormat="1" ht="21" customHeight="1">
      <c r="D927" s="16"/>
      <c r="E927" s="16"/>
      <c r="F927" s="9"/>
      <c r="G927" s="9"/>
      <c r="H927" s="9"/>
    </row>
    <row r="928" spans="4:8" s="3" customFormat="1" ht="21" customHeight="1">
      <c r="D928" s="16"/>
      <c r="E928" s="16"/>
      <c r="F928" s="9"/>
      <c r="G928" s="9"/>
      <c r="H928" s="9"/>
    </row>
    <row r="929" spans="4:8" s="3" customFormat="1" ht="21" customHeight="1">
      <c r="D929" s="16"/>
      <c r="E929" s="16"/>
      <c r="F929" s="9"/>
      <c r="G929" s="9"/>
      <c r="H929" s="9"/>
    </row>
    <row r="930" spans="4:8" s="3" customFormat="1" ht="21" customHeight="1">
      <c r="D930" s="16"/>
      <c r="E930" s="16"/>
      <c r="F930" s="9"/>
      <c r="G930" s="9"/>
      <c r="H930" s="9"/>
    </row>
    <row r="931" spans="4:8" s="3" customFormat="1" ht="21" customHeight="1">
      <c r="D931" s="16"/>
      <c r="E931" s="16"/>
      <c r="F931" s="9"/>
      <c r="G931" s="9"/>
      <c r="H931" s="9"/>
    </row>
    <row r="932" spans="4:8" s="3" customFormat="1" ht="21" customHeight="1">
      <c r="D932" s="16"/>
      <c r="E932" s="16"/>
      <c r="F932" s="9"/>
      <c r="G932" s="9"/>
      <c r="H932" s="9"/>
    </row>
    <row r="933" spans="4:8" s="3" customFormat="1" ht="21" customHeight="1">
      <c r="D933" s="16"/>
      <c r="E933" s="16"/>
      <c r="F933" s="9"/>
      <c r="G933" s="9"/>
      <c r="H933" s="9"/>
    </row>
    <row r="934" spans="4:8" s="3" customFormat="1" ht="21" customHeight="1">
      <c r="D934" s="16"/>
      <c r="E934" s="16"/>
      <c r="F934" s="9"/>
      <c r="G934" s="9"/>
      <c r="H934" s="9"/>
    </row>
    <row r="935" spans="4:8" s="3" customFormat="1" ht="21" customHeight="1">
      <c r="D935" s="16"/>
      <c r="E935" s="16"/>
      <c r="F935" s="9"/>
      <c r="G935" s="9"/>
      <c r="H935" s="9"/>
    </row>
    <row r="936" spans="4:8" s="3" customFormat="1" ht="21" customHeight="1">
      <c r="D936" s="16"/>
      <c r="E936" s="16"/>
      <c r="F936" s="9"/>
      <c r="G936" s="9"/>
      <c r="H936" s="9"/>
    </row>
    <row r="937" spans="4:8" s="3" customFormat="1" ht="21" customHeight="1">
      <c r="D937" s="16"/>
      <c r="E937" s="16"/>
      <c r="F937" s="9"/>
      <c r="G937" s="9"/>
      <c r="H937" s="9"/>
    </row>
    <row r="938" spans="4:8" s="3" customFormat="1" ht="21" customHeight="1">
      <c r="D938" s="16"/>
      <c r="E938" s="16"/>
      <c r="F938" s="9"/>
      <c r="G938" s="9"/>
      <c r="H938" s="9"/>
    </row>
    <row r="939" spans="4:8" s="3" customFormat="1" ht="21" customHeight="1">
      <c r="D939" s="16"/>
      <c r="E939" s="16"/>
      <c r="F939" s="9"/>
      <c r="G939" s="9"/>
      <c r="H939" s="9"/>
    </row>
    <row r="940" spans="4:8" s="3" customFormat="1" ht="21" customHeight="1">
      <c r="D940" s="16"/>
      <c r="E940" s="16"/>
      <c r="F940" s="9"/>
      <c r="G940" s="9"/>
      <c r="H940" s="9"/>
    </row>
    <row r="941" spans="4:8" s="3" customFormat="1" ht="21" customHeight="1">
      <c r="D941" s="16"/>
      <c r="E941" s="16"/>
      <c r="F941" s="9"/>
      <c r="G941" s="9"/>
      <c r="H941" s="9"/>
    </row>
    <row r="942" spans="4:8" s="3" customFormat="1" ht="21" customHeight="1">
      <c r="D942" s="16"/>
      <c r="E942" s="16"/>
      <c r="F942" s="9"/>
      <c r="G942" s="9"/>
      <c r="H942" s="9"/>
    </row>
    <row r="943" spans="4:8" s="3" customFormat="1" ht="21" customHeight="1">
      <c r="D943" s="16"/>
      <c r="E943" s="16"/>
      <c r="F943" s="9"/>
      <c r="G943" s="9"/>
      <c r="H943" s="9"/>
    </row>
    <row r="944" spans="4:8" s="3" customFormat="1" ht="21" customHeight="1">
      <c r="D944" s="16"/>
      <c r="E944" s="16"/>
      <c r="F944" s="9"/>
      <c r="G944" s="9"/>
      <c r="H944" s="9"/>
    </row>
    <row r="945" spans="4:8" s="3" customFormat="1" ht="21" customHeight="1">
      <c r="D945" s="16"/>
      <c r="E945" s="16"/>
      <c r="F945" s="9"/>
      <c r="G945" s="9"/>
      <c r="H945" s="9"/>
    </row>
    <row r="946" spans="4:8" s="3" customFormat="1" ht="21" customHeight="1">
      <c r="D946" s="16"/>
      <c r="E946" s="16"/>
      <c r="F946" s="9"/>
      <c r="G946" s="9"/>
      <c r="H946" s="9"/>
    </row>
    <row r="947" spans="4:8" s="3" customFormat="1" ht="21" customHeight="1">
      <c r="D947" s="16"/>
      <c r="E947" s="16"/>
      <c r="F947" s="9"/>
      <c r="G947" s="9"/>
      <c r="H947" s="9"/>
    </row>
    <row r="948" spans="4:8" s="3" customFormat="1" ht="21" customHeight="1">
      <c r="D948" s="16"/>
      <c r="E948" s="16"/>
      <c r="F948" s="9"/>
      <c r="G948" s="9"/>
      <c r="H948" s="9"/>
    </row>
    <row r="949" spans="4:8" s="3" customFormat="1" ht="21" customHeight="1">
      <c r="D949" s="16"/>
      <c r="E949" s="16"/>
      <c r="F949" s="9"/>
      <c r="G949" s="9"/>
      <c r="H949" s="9"/>
    </row>
    <row r="950" spans="4:8" s="3" customFormat="1" ht="21" customHeight="1">
      <c r="D950" s="16"/>
      <c r="E950" s="16"/>
      <c r="F950" s="9"/>
      <c r="G950" s="9"/>
      <c r="H950" s="9"/>
    </row>
    <row r="951" spans="4:8" s="3" customFormat="1" ht="21" customHeight="1">
      <c r="D951" s="16"/>
      <c r="E951" s="16"/>
      <c r="F951" s="9"/>
      <c r="G951" s="9"/>
      <c r="H951" s="9"/>
    </row>
    <row r="952" spans="4:8" s="3" customFormat="1" ht="21" customHeight="1">
      <c r="D952" s="16"/>
      <c r="E952" s="16"/>
      <c r="F952" s="9"/>
      <c r="G952" s="9"/>
      <c r="H952" s="9"/>
    </row>
    <row r="953" spans="4:8" s="3" customFormat="1" ht="21" customHeight="1">
      <c r="D953" s="16"/>
      <c r="E953" s="16"/>
      <c r="F953" s="9"/>
      <c r="G953" s="9"/>
      <c r="H953" s="9"/>
    </row>
    <row r="954" spans="4:8" s="3" customFormat="1" ht="21" customHeight="1">
      <c r="D954" s="16"/>
      <c r="E954" s="16"/>
      <c r="F954" s="9"/>
      <c r="G954" s="9"/>
      <c r="H954" s="9"/>
    </row>
    <row r="955" spans="4:8" s="3" customFormat="1" ht="21" customHeight="1">
      <c r="D955" s="16"/>
      <c r="E955" s="16"/>
      <c r="F955" s="9"/>
      <c r="G955" s="9"/>
      <c r="H955" s="9"/>
    </row>
    <row r="956" spans="4:8" s="3" customFormat="1" ht="21" customHeight="1">
      <c r="D956" s="16"/>
      <c r="E956" s="16"/>
      <c r="F956" s="9"/>
      <c r="G956" s="9"/>
      <c r="H956" s="9"/>
    </row>
    <row r="957" spans="4:8" s="3" customFormat="1" ht="21" customHeight="1">
      <c r="D957" s="16"/>
      <c r="E957" s="16"/>
      <c r="F957" s="9"/>
      <c r="G957" s="9"/>
      <c r="H957" s="9"/>
    </row>
    <row r="958" spans="4:8" s="3" customFormat="1" ht="21" customHeight="1">
      <c r="D958" s="16"/>
      <c r="E958" s="16"/>
      <c r="F958" s="9"/>
      <c r="G958" s="9"/>
      <c r="H958" s="9"/>
    </row>
    <row r="959" spans="4:8" s="3" customFormat="1" ht="21" customHeight="1">
      <c r="D959" s="16"/>
      <c r="E959" s="16"/>
      <c r="F959" s="9"/>
      <c r="G959" s="9"/>
      <c r="H959" s="9"/>
    </row>
    <row r="960" spans="4:8" s="3" customFormat="1" ht="21" customHeight="1">
      <c r="D960" s="16"/>
      <c r="E960" s="16"/>
      <c r="F960" s="9"/>
      <c r="G960" s="9"/>
      <c r="H960" s="9"/>
    </row>
    <row r="961" spans="4:8" s="3" customFormat="1" ht="21" customHeight="1">
      <c r="D961" s="16"/>
      <c r="E961" s="16"/>
      <c r="F961" s="9"/>
      <c r="G961" s="9"/>
      <c r="H961" s="9"/>
    </row>
    <row r="962" spans="4:8" s="3" customFormat="1" ht="21" customHeight="1">
      <c r="D962" s="16"/>
      <c r="E962" s="16"/>
      <c r="F962" s="9"/>
      <c r="G962" s="9"/>
      <c r="H962" s="9"/>
    </row>
    <row r="963" spans="4:8" s="3" customFormat="1" ht="21" customHeight="1">
      <c r="D963" s="16"/>
      <c r="E963" s="16"/>
      <c r="F963" s="9"/>
      <c r="G963" s="9"/>
      <c r="H963" s="9"/>
    </row>
    <row r="964" spans="4:8" s="3" customFormat="1" ht="21" customHeight="1">
      <c r="D964" s="16"/>
      <c r="E964" s="16"/>
      <c r="F964" s="9"/>
      <c r="G964" s="9"/>
      <c r="H964" s="9"/>
    </row>
    <row r="965" spans="4:8" s="3" customFormat="1" ht="21" customHeight="1">
      <c r="D965" s="16"/>
      <c r="E965" s="16"/>
      <c r="F965" s="9"/>
      <c r="G965" s="9"/>
      <c r="H965" s="9"/>
    </row>
    <row r="966" spans="4:8" s="3" customFormat="1" ht="21" customHeight="1">
      <c r="D966" s="16"/>
      <c r="E966" s="16"/>
      <c r="F966" s="9"/>
      <c r="G966" s="9"/>
      <c r="H966" s="9"/>
    </row>
    <row r="967" spans="4:8" s="3" customFormat="1" ht="21" customHeight="1">
      <c r="D967" s="16"/>
      <c r="E967" s="16"/>
      <c r="F967" s="9"/>
      <c r="G967" s="9"/>
      <c r="H967" s="9"/>
    </row>
    <row r="968" spans="4:8" s="3" customFormat="1" ht="21" customHeight="1">
      <c r="D968" s="16"/>
      <c r="E968" s="16"/>
      <c r="F968" s="9"/>
      <c r="G968" s="9"/>
      <c r="H968" s="9"/>
    </row>
    <row r="969" spans="4:8" s="3" customFormat="1" ht="21" customHeight="1">
      <c r="D969" s="16"/>
      <c r="E969" s="16"/>
      <c r="F969" s="9"/>
      <c r="G969" s="9"/>
      <c r="H969" s="9"/>
    </row>
    <row r="970" spans="4:8" s="3" customFormat="1" ht="21" customHeight="1">
      <c r="D970" s="16"/>
      <c r="E970" s="16"/>
      <c r="F970" s="9"/>
      <c r="G970" s="9"/>
      <c r="H970" s="9"/>
    </row>
    <row r="971" spans="4:8" s="3" customFormat="1" ht="21" customHeight="1">
      <c r="D971" s="16"/>
      <c r="E971" s="16"/>
      <c r="F971" s="9"/>
      <c r="G971" s="9"/>
      <c r="H971" s="9"/>
    </row>
    <row r="972" spans="4:8" s="3" customFormat="1" ht="21" customHeight="1">
      <c r="D972" s="16"/>
      <c r="E972" s="16"/>
      <c r="F972" s="9"/>
      <c r="G972" s="9"/>
      <c r="H972" s="9"/>
    </row>
    <row r="973" spans="4:8" s="3" customFormat="1" ht="21" customHeight="1">
      <c r="D973" s="16"/>
      <c r="E973" s="16"/>
      <c r="F973" s="9"/>
      <c r="G973" s="9"/>
      <c r="H973" s="9"/>
    </row>
    <row r="974" spans="4:8" s="3" customFormat="1" ht="21" customHeight="1">
      <c r="D974" s="16"/>
      <c r="E974" s="16"/>
      <c r="F974" s="9"/>
      <c r="G974" s="9"/>
      <c r="H974" s="9"/>
    </row>
    <row r="975" spans="4:8" s="3" customFormat="1" ht="21" customHeight="1">
      <c r="D975" s="16"/>
      <c r="E975" s="16"/>
      <c r="F975" s="9"/>
      <c r="G975" s="9"/>
      <c r="H975" s="9"/>
    </row>
    <row r="976" spans="4:8" s="3" customFormat="1" ht="21" customHeight="1">
      <c r="D976" s="16"/>
      <c r="E976" s="16"/>
      <c r="F976" s="9"/>
      <c r="G976" s="9"/>
      <c r="H976" s="9"/>
    </row>
    <row r="977" spans="4:8" s="3" customFormat="1" ht="21" customHeight="1">
      <c r="D977" s="16"/>
      <c r="E977" s="16"/>
      <c r="F977" s="9"/>
      <c r="G977" s="9"/>
      <c r="H977" s="9"/>
    </row>
    <row r="978" spans="4:8" s="3" customFormat="1" ht="21" customHeight="1">
      <c r="D978" s="16"/>
      <c r="E978" s="16"/>
      <c r="F978" s="9"/>
      <c r="G978" s="9"/>
      <c r="H978" s="9"/>
    </row>
    <row r="979" spans="4:8" s="3" customFormat="1" ht="21" customHeight="1">
      <c r="D979" s="16"/>
      <c r="E979" s="16"/>
      <c r="F979" s="9"/>
      <c r="G979" s="9"/>
      <c r="H979" s="9"/>
    </row>
    <row r="980" spans="4:8" s="3" customFormat="1" ht="21" customHeight="1">
      <c r="D980" s="16"/>
      <c r="E980" s="16"/>
      <c r="F980" s="9"/>
      <c r="G980" s="9"/>
      <c r="H980" s="9"/>
    </row>
    <row r="981" spans="4:8" s="3" customFormat="1" ht="21" customHeight="1">
      <c r="D981" s="16"/>
      <c r="E981" s="16"/>
      <c r="F981" s="9"/>
      <c r="G981" s="9"/>
      <c r="H981" s="9"/>
    </row>
    <row r="982" spans="4:8" s="3" customFormat="1" ht="21" customHeight="1">
      <c r="D982" s="16"/>
      <c r="E982" s="16"/>
      <c r="F982" s="9"/>
      <c r="G982" s="9"/>
      <c r="H982" s="9"/>
    </row>
    <row r="983" spans="4:8" s="3" customFormat="1" ht="21" customHeight="1">
      <c r="D983" s="16"/>
      <c r="E983" s="16"/>
      <c r="F983" s="9"/>
      <c r="G983" s="9"/>
      <c r="H983" s="9"/>
    </row>
    <row r="984" spans="4:8" s="3" customFormat="1" ht="21" customHeight="1">
      <c r="D984" s="16"/>
      <c r="E984" s="16"/>
      <c r="F984" s="9"/>
      <c r="G984" s="9"/>
      <c r="H984" s="9"/>
    </row>
    <row r="985" spans="4:8" s="3" customFormat="1" ht="21" customHeight="1">
      <c r="D985" s="16"/>
      <c r="E985" s="16"/>
      <c r="F985" s="9"/>
      <c r="G985" s="9"/>
      <c r="H985" s="9"/>
    </row>
    <row r="986" spans="4:8" s="3" customFormat="1" ht="21" customHeight="1">
      <c r="D986" s="16"/>
      <c r="E986" s="16"/>
      <c r="F986" s="9"/>
      <c r="G986" s="9"/>
      <c r="H986" s="9"/>
    </row>
    <row r="987" spans="4:8" s="3" customFormat="1" ht="21" customHeight="1">
      <c r="D987" s="16"/>
      <c r="E987" s="16"/>
      <c r="F987" s="9"/>
      <c r="G987" s="9"/>
      <c r="H987" s="9"/>
    </row>
    <row r="988" spans="4:8" s="3" customFormat="1" ht="21" customHeight="1">
      <c r="D988" s="16"/>
      <c r="E988" s="16"/>
      <c r="F988" s="9"/>
      <c r="G988" s="9"/>
      <c r="H988" s="9"/>
    </row>
    <row r="989" spans="4:8" s="3" customFormat="1" ht="21" customHeight="1">
      <c r="D989" s="16"/>
      <c r="E989" s="16"/>
      <c r="F989" s="9"/>
      <c r="G989" s="9"/>
      <c r="H989" s="9"/>
    </row>
    <row r="990" spans="4:8" s="3" customFormat="1" ht="21" customHeight="1">
      <c r="D990" s="16"/>
      <c r="E990" s="16"/>
      <c r="F990" s="9"/>
      <c r="G990" s="9"/>
      <c r="H990" s="9"/>
    </row>
    <row r="991" spans="4:8" s="3" customFormat="1" ht="21" customHeight="1">
      <c r="D991" s="16"/>
      <c r="E991" s="16"/>
      <c r="F991" s="9"/>
      <c r="G991" s="9"/>
      <c r="H991" s="9"/>
    </row>
    <row r="992" spans="4:8" s="3" customFormat="1" ht="21" customHeight="1">
      <c r="D992" s="16"/>
      <c r="E992" s="16"/>
      <c r="F992" s="9"/>
      <c r="G992" s="9"/>
      <c r="H992" s="9"/>
    </row>
    <row r="993" spans="4:8" s="3" customFormat="1" ht="21" customHeight="1">
      <c r="D993" s="16"/>
      <c r="E993" s="16"/>
      <c r="F993" s="9"/>
      <c r="G993" s="9"/>
      <c r="H993" s="9"/>
    </row>
    <row r="994" spans="4:8" s="3" customFormat="1" ht="21" customHeight="1">
      <c r="D994" s="16"/>
      <c r="E994" s="16"/>
      <c r="F994" s="9"/>
      <c r="G994" s="9"/>
      <c r="H994" s="9"/>
    </row>
    <row r="995" spans="4:8" s="3" customFormat="1" ht="21" customHeight="1">
      <c r="D995" s="16"/>
      <c r="E995" s="16"/>
      <c r="F995" s="9"/>
      <c r="G995" s="9"/>
      <c r="H995" s="9"/>
    </row>
    <row r="996" spans="4:8" s="3" customFormat="1" ht="21" customHeight="1">
      <c r="D996" s="16"/>
      <c r="E996" s="16"/>
      <c r="F996" s="9"/>
      <c r="G996" s="9"/>
      <c r="H996" s="9"/>
    </row>
    <row r="997" spans="4:8" s="3" customFormat="1" ht="21" customHeight="1">
      <c r="D997" s="16"/>
      <c r="E997" s="16"/>
      <c r="F997" s="9"/>
      <c r="G997" s="9"/>
      <c r="H997" s="9"/>
    </row>
    <row r="998" spans="4:8" s="3" customFormat="1" ht="21" customHeight="1">
      <c r="D998" s="16"/>
      <c r="E998" s="16"/>
      <c r="F998" s="9"/>
      <c r="G998" s="9"/>
      <c r="H998" s="9"/>
    </row>
    <row r="999" spans="4:8" s="3" customFormat="1" ht="21" customHeight="1">
      <c r="D999" s="16"/>
      <c r="E999" s="16"/>
      <c r="F999" s="9"/>
      <c r="G999" s="9"/>
      <c r="H999" s="9"/>
    </row>
    <row r="1000" spans="4:8" s="3" customFormat="1" ht="21" customHeight="1">
      <c r="D1000" s="16"/>
      <c r="E1000" s="16"/>
      <c r="F1000" s="9"/>
      <c r="G1000" s="9"/>
      <c r="H1000" s="9"/>
    </row>
    <row r="1001" spans="4:8" s="3" customFormat="1" ht="21" customHeight="1">
      <c r="D1001" s="16"/>
      <c r="E1001" s="16"/>
      <c r="F1001" s="9"/>
      <c r="G1001" s="9"/>
      <c r="H1001" s="9"/>
    </row>
    <row r="1002" spans="4:8" s="3" customFormat="1" ht="21" customHeight="1">
      <c r="D1002" s="16"/>
      <c r="E1002" s="16"/>
      <c r="F1002" s="9"/>
      <c r="G1002" s="9"/>
      <c r="H1002" s="9"/>
    </row>
    <row r="1003" spans="4:8" s="3" customFormat="1" ht="21" customHeight="1">
      <c r="D1003" s="16"/>
      <c r="E1003" s="16"/>
      <c r="F1003" s="9"/>
      <c r="G1003" s="9"/>
      <c r="H1003" s="9"/>
    </row>
    <row r="1004" spans="4:8" s="3" customFormat="1" ht="21" customHeight="1">
      <c r="D1004" s="16"/>
      <c r="E1004" s="16"/>
      <c r="F1004" s="9"/>
      <c r="G1004" s="9"/>
      <c r="H1004" s="9"/>
    </row>
    <row r="1005" spans="4:8" s="3" customFormat="1" ht="21" customHeight="1">
      <c r="D1005" s="16"/>
      <c r="E1005" s="16"/>
      <c r="F1005" s="9"/>
      <c r="G1005" s="9"/>
      <c r="H1005" s="9"/>
    </row>
    <row r="1006" spans="4:8" s="3" customFormat="1" ht="21" customHeight="1">
      <c r="D1006" s="16"/>
      <c r="E1006" s="16"/>
      <c r="F1006" s="9"/>
      <c r="G1006" s="9"/>
      <c r="H1006" s="9"/>
    </row>
    <row r="1007" spans="4:8" s="3" customFormat="1" ht="21" customHeight="1">
      <c r="D1007" s="16"/>
      <c r="E1007" s="16"/>
      <c r="F1007" s="9"/>
      <c r="G1007" s="9"/>
      <c r="H1007" s="9"/>
    </row>
    <row r="1008" spans="4:8" s="3" customFormat="1" ht="21" customHeight="1">
      <c r="D1008" s="16"/>
      <c r="E1008" s="16"/>
      <c r="F1008" s="9"/>
      <c r="G1008" s="9"/>
      <c r="H1008" s="9"/>
    </row>
    <row r="1009" spans="4:8" s="3" customFormat="1" ht="21" customHeight="1">
      <c r="D1009" s="16"/>
      <c r="E1009" s="16"/>
      <c r="F1009" s="9"/>
      <c r="G1009" s="9"/>
      <c r="H1009" s="9"/>
    </row>
    <row r="1010" spans="4:8" s="3" customFormat="1" ht="21" customHeight="1">
      <c r="D1010" s="16"/>
      <c r="E1010" s="16"/>
      <c r="F1010" s="9"/>
      <c r="G1010" s="9"/>
      <c r="H1010" s="9"/>
    </row>
    <row r="1011" spans="4:8" s="3" customFormat="1" ht="21" customHeight="1">
      <c r="D1011" s="16"/>
      <c r="E1011" s="16"/>
      <c r="F1011" s="9"/>
      <c r="G1011" s="9"/>
      <c r="H1011" s="9"/>
    </row>
    <row r="1012" spans="4:8" s="3" customFormat="1" ht="21" customHeight="1">
      <c r="D1012" s="16"/>
      <c r="E1012" s="16"/>
      <c r="F1012" s="9"/>
      <c r="G1012" s="9"/>
      <c r="H1012" s="9"/>
    </row>
    <row r="1013" spans="4:8" s="3" customFormat="1" ht="21" customHeight="1">
      <c r="D1013" s="16"/>
      <c r="E1013" s="16"/>
      <c r="F1013" s="9"/>
      <c r="G1013" s="9"/>
      <c r="H1013" s="9"/>
    </row>
    <row r="1014" spans="4:8" s="3" customFormat="1" ht="21" customHeight="1">
      <c r="D1014" s="16"/>
      <c r="E1014" s="16"/>
      <c r="F1014" s="9"/>
      <c r="G1014" s="9"/>
      <c r="H1014" s="9"/>
    </row>
    <row r="1015" spans="4:8" s="3" customFormat="1" ht="21" customHeight="1">
      <c r="D1015" s="16"/>
      <c r="E1015" s="16"/>
      <c r="F1015" s="9"/>
      <c r="G1015" s="9"/>
      <c r="H1015" s="9"/>
    </row>
    <row r="1016" spans="4:8" s="3" customFormat="1" ht="21" customHeight="1">
      <c r="D1016" s="16"/>
      <c r="E1016" s="16"/>
      <c r="F1016" s="9"/>
      <c r="G1016" s="9"/>
      <c r="H1016" s="9"/>
    </row>
    <row r="1017" spans="4:8" s="3" customFormat="1" ht="21" customHeight="1">
      <c r="D1017" s="16"/>
      <c r="E1017" s="16"/>
      <c r="F1017" s="9"/>
      <c r="G1017" s="9"/>
      <c r="H1017" s="9"/>
    </row>
    <row r="1018" spans="4:8" s="3" customFormat="1" ht="21" customHeight="1">
      <c r="D1018" s="16"/>
      <c r="E1018" s="16"/>
      <c r="F1018" s="9"/>
      <c r="G1018" s="9"/>
      <c r="H1018" s="9"/>
    </row>
    <row r="1019" spans="4:8" s="3" customFormat="1" ht="21" customHeight="1">
      <c r="D1019" s="16"/>
      <c r="E1019" s="16"/>
      <c r="F1019" s="9"/>
      <c r="G1019" s="9"/>
      <c r="H1019" s="9"/>
    </row>
    <row r="1020" spans="4:8" s="3" customFormat="1" ht="21" customHeight="1">
      <c r="D1020" s="16"/>
      <c r="E1020" s="16"/>
      <c r="F1020" s="9"/>
      <c r="G1020" s="9"/>
      <c r="H1020" s="9"/>
    </row>
    <row r="1021" spans="4:8" s="3" customFormat="1" ht="21" customHeight="1">
      <c r="D1021" s="16"/>
      <c r="E1021" s="16"/>
      <c r="F1021" s="9"/>
      <c r="G1021" s="9"/>
      <c r="H1021" s="9"/>
    </row>
    <row r="1022" spans="4:8" s="3" customFormat="1" ht="21" customHeight="1">
      <c r="D1022" s="16"/>
      <c r="E1022" s="16"/>
      <c r="F1022" s="9"/>
      <c r="G1022" s="9"/>
      <c r="H1022" s="9"/>
    </row>
    <row r="1023" spans="4:8" s="3" customFormat="1" ht="21" customHeight="1">
      <c r="D1023" s="16"/>
      <c r="E1023" s="16"/>
      <c r="F1023" s="9"/>
      <c r="G1023" s="9"/>
      <c r="H1023" s="9"/>
    </row>
    <row r="1024" spans="4:8" s="3" customFormat="1" ht="21" customHeight="1">
      <c r="D1024" s="16"/>
      <c r="E1024" s="16"/>
      <c r="F1024" s="9"/>
      <c r="G1024" s="9"/>
      <c r="H1024" s="9"/>
    </row>
    <row r="1025" spans="4:8" s="3" customFormat="1" ht="21" customHeight="1">
      <c r="D1025" s="16"/>
      <c r="E1025" s="16"/>
      <c r="F1025" s="9"/>
      <c r="G1025" s="9"/>
      <c r="H1025" s="9"/>
    </row>
    <row r="1026" spans="4:8" s="3" customFormat="1" ht="21" customHeight="1">
      <c r="D1026" s="16"/>
      <c r="E1026" s="16"/>
      <c r="F1026" s="9"/>
      <c r="G1026" s="9"/>
      <c r="H1026" s="9"/>
    </row>
    <row r="1027" spans="4:8" s="3" customFormat="1" ht="21" customHeight="1">
      <c r="D1027" s="16"/>
      <c r="E1027" s="16"/>
      <c r="F1027" s="9"/>
      <c r="G1027" s="9"/>
      <c r="H1027" s="9"/>
    </row>
    <row r="1028" spans="4:8" s="3" customFormat="1" ht="21" customHeight="1">
      <c r="D1028" s="16"/>
      <c r="E1028" s="16"/>
      <c r="F1028" s="9"/>
      <c r="G1028" s="9"/>
      <c r="H1028" s="9"/>
    </row>
    <row r="1029" spans="4:8" s="3" customFormat="1" ht="21" customHeight="1">
      <c r="D1029" s="16"/>
      <c r="E1029" s="16"/>
      <c r="F1029" s="9"/>
      <c r="G1029" s="9"/>
      <c r="H1029" s="9"/>
    </row>
    <row r="1030" spans="4:8" s="3" customFormat="1" ht="21" customHeight="1">
      <c r="D1030" s="16"/>
      <c r="E1030" s="16"/>
      <c r="F1030" s="9"/>
      <c r="G1030" s="9"/>
      <c r="H1030" s="9"/>
    </row>
    <row r="1031" spans="4:8" s="3" customFormat="1" ht="21" customHeight="1">
      <c r="D1031" s="16"/>
      <c r="E1031" s="16"/>
      <c r="F1031" s="9"/>
      <c r="G1031" s="9"/>
      <c r="H1031" s="9"/>
    </row>
    <row r="1032" spans="4:8" s="3" customFormat="1" ht="21" customHeight="1">
      <c r="D1032" s="16"/>
      <c r="E1032" s="16"/>
      <c r="F1032" s="9"/>
      <c r="G1032" s="9"/>
      <c r="H1032" s="9"/>
    </row>
    <row r="1033" spans="4:8" s="3" customFormat="1" ht="21" customHeight="1">
      <c r="D1033" s="16"/>
      <c r="E1033" s="16"/>
      <c r="F1033" s="9"/>
      <c r="G1033" s="9"/>
      <c r="H1033" s="9"/>
    </row>
    <row r="1034" spans="4:8" s="3" customFormat="1" ht="21" customHeight="1">
      <c r="D1034" s="16"/>
      <c r="E1034" s="16"/>
      <c r="F1034" s="9"/>
      <c r="G1034" s="9"/>
      <c r="H1034" s="9"/>
    </row>
    <row r="1035" spans="4:8" s="3" customFormat="1" ht="21" customHeight="1">
      <c r="D1035" s="16"/>
      <c r="E1035" s="16"/>
      <c r="F1035" s="9"/>
      <c r="G1035" s="9"/>
      <c r="H1035" s="9"/>
    </row>
    <row r="1036" spans="4:8" s="3" customFormat="1" ht="21" customHeight="1">
      <c r="D1036" s="16"/>
      <c r="E1036" s="16"/>
      <c r="F1036" s="9"/>
      <c r="G1036" s="9"/>
      <c r="H1036" s="9"/>
    </row>
    <row r="1037" spans="4:8" s="3" customFormat="1" ht="21" customHeight="1">
      <c r="D1037" s="16"/>
      <c r="E1037" s="16"/>
      <c r="F1037" s="9"/>
      <c r="G1037" s="9"/>
      <c r="H1037" s="9"/>
    </row>
    <row r="1038" spans="4:8" s="3" customFormat="1" ht="21" customHeight="1">
      <c r="D1038" s="16"/>
      <c r="E1038" s="16"/>
      <c r="F1038" s="9"/>
      <c r="G1038" s="9"/>
      <c r="H1038" s="9"/>
    </row>
    <row r="1039" spans="4:8" s="3" customFormat="1" ht="21" customHeight="1">
      <c r="D1039" s="16"/>
      <c r="E1039" s="16"/>
      <c r="F1039" s="9"/>
      <c r="G1039" s="9"/>
      <c r="H1039" s="9"/>
    </row>
    <row r="1040" spans="4:8" s="3" customFormat="1" ht="21" customHeight="1">
      <c r="D1040" s="16"/>
      <c r="E1040" s="16"/>
      <c r="F1040" s="9"/>
      <c r="G1040" s="9"/>
      <c r="H1040" s="9"/>
    </row>
    <row r="1041" spans="4:8" s="3" customFormat="1" ht="21" customHeight="1">
      <c r="D1041" s="16"/>
      <c r="E1041" s="16"/>
      <c r="F1041" s="9"/>
      <c r="G1041" s="9"/>
      <c r="H1041" s="9"/>
    </row>
    <row r="1042" spans="4:8" s="3" customFormat="1" ht="21" customHeight="1">
      <c r="D1042" s="16"/>
      <c r="E1042" s="16"/>
      <c r="F1042" s="9"/>
      <c r="G1042" s="9"/>
      <c r="H1042" s="9"/>
    </row>
    <row r="1043" spans="4:8" s="3" customFormat="1" ht="21" customHeight="1">
      <c r="D1043" s="16"/>
      <c r="E1043" s="16"/>
      <c r="F1043" s="9"/>
      <c r="G1043" s="9"/>
      <c r="H1043" s="9"/>
    </row>
    <row r="1044" spans="4:8" s="3" customFormat="1" ht="21" customHeight="1">
      <c r="D1044" s="16"/>
      <c r="E1044" s="16"/>
      <c r="F1044" s="9"/>
      <c r="G1044" s="9"/>
      <c r="H1044" s="9"/>
    </row>
    <row r="1045" spans="4:8" s="3" customFormat="1" ht="21" customHeight="1">
      <c r="D1045" s="16"/>
      <c r="E1045" s="16"/>
      <c r="F1045" s="9"/>
      <c r="G1045" s="9"/>
      <c r="H1045" s="9"/>
    </row>
    <row r="1046" spans="4:8" s="3" customFormat="1" ht="21" customHeight="1">
      <c r="D1046" s="16"/>
      <c r="E1046" s="16"/>
      <c r="F1046" s="9"/>
      <c r="G1046" s="9"/>
      <c r="H1046" s="9"/>
    </row>
    <row r="1047" spans="4:8" s="3" customFormat="1" ht="21" customHeight="1">
      <c r="D1047" s="16"/>
      <c r="E1047" s="16"/>
      <c r="F1047" s="9"/>
      <c r="G1047" s="9"/>
      <c r="H1047" s="9"/>
    </row>
    <row r="1048" spans="4:8" s="3" customFormat="1" ht="21" customHeight="1">
      <c r="D1048" s="16"/>
      <c r="E1048" s="16"/>
      <c r="F1048" s="9"/>
      <c r="G1048" s="9"/>
      <c r="H1048" s="9"/>
    </row>
    <row r="1049" spans="4:8" s="3" customFormat="1" ht="21" customHeight="1">
      <c r="D1049" s="16"/>
      <c r="E1049" s="16"/>
      <c r="F1049" s="9"/>
      <c r="G1049" s="9"/>
      <c r="H1049" s="9"/>
    </row>
    <row r="1050" spans="4:8" s="3" customFormat="1" ht="21" customHeight="1">
      <c r="D1050" s="16"/>
      <c r="E1050" s="16"/>
      <c r="F1050" s="9"/>
      <c r="G1050" s="9"/>
      <c r="H1050" s="9"/>
    </row>
    <row r="1051" spans="4:8" s="3" customFormat="1" ht="21" customHeight="1">
      <c r="D1051" s="16"/>
      <c r="E1051" s="16"/>
      <c r="F1051" s="9"/>
      <c r="G1051" s="9"/>
      <c r="H1051" s="9"/>
    </row>
    <row r="1052" spans="4:8" s="3" customFormat="1" ht="21" customHeight="1">
      <c r="D1052" s="16"/>
      <c r="E1052" s="16"/>
      <c r="F1052" s="9"/>
      <c r="G1052" s="9"/>
      <c r="H1052" s="9"/>
    </row>
    <row r="1053" spans="4:8" s="3" customFormat="1" ht="21" customHeight="1">
      <c r="D1053" s="16"/>
      <c r="E1053" s="16"/>
      <c r="F1053" s="9"/>
      <c r="G1053" s="9"/>
      <c r="H1053" s="9"/>
    </row>
    <row r="1054" spans="4:8" s="3" customFormat="1" ht="21" customHeight="1">
      <c r="D1054" s="16"/>
      <c r="E1054" s="16"/>
      <c r="F1054" s="9"/>
      <c r="G1054" s="9"/>
      <c r="H1054" s="9"/>
    </row>
    <row r="1055" spans="4:8" s="3" customFormat="1" ht="21" customHeight="1">
      <c r="D1055" s="16"/>
      <c r="E1055" s="16"/>
      <c r="F1055" s="9"/>
      <c r="G1055" s="9"/>
      <c r="H1055" s="9"/>
    </row>
    <row r="1056" spans="4:8" s="3" customFormat="1" ht="21" customHeight="1">
      <c r="D1056" s="16"/>
      <c r="E1056" s="16"/>
      <c r="F1056" s="9"/>
      <c r="G1056" s="9"/>
      <c r="H1056" s="9"/>
    </row>
    <row r="1057" spans="4:8" s="3" customFormat="1" ht="21" customHeight="1">
      <c r="D1057" s="16"/>
      <c r="E1057" s="16"/>
      <c r="F1057" s="9"/>
      <c r="G1057" s="9"/>
      <c r="H1057" s="9"/>
    </row>
    <row r="1058" spans="4:8" s="3" customFormat="1" ht="21" customHeight="1">
      <c r="D1058" s="16"/>
      <c r="E1058" s="16"/>
      <c r="F1058" s="9"/>
      <c r="G1058" s="9"/>
      <c r="H1058" s="9"/>
    </row>
    <row r="1059" spans="4:8" s="3" customFormat="1" ht="21" customHeight="1">
      <c r="D1059" s="16"/>
      <c r="E1059" s="16"/>
      <c r="F1059" s="9"/>
      <c r="G1059" s="9"/>
      <c r="H1059" s="9"/>
    </row>
    <row r="1060" spans="4:8" s="3" customFormat="1" ht="21" customHeight="1">
      <c r="D1060" s="16"/>
      <c r="E1060" s="16"/>
      <c r="F1060" s="9"/>
      <c r="G1060" s="9"/>
      <c r="H1060" s="9"/>
    </row>
    <row r="1061" spans="4:8" s="3" customFormat="1" ht="21" customHeight="1">
      <c r="D1061" s="16"/>
      <c r="E1061" s="16"/>
      <c r="F1061" s="9"/>
      <c r="G1061" s="9"/>
      <c r="H1061" s="9"/>
    </row>
    <row r="1062" spans="4:8" s="3" customFormat="1" ht="21" customHeight="1">
      <c r="D1062" s="16"/>
      <c r="E1062" s="16"/>
      <c r="F1062" s="9"/>
      <c r="G1062" s="9"/>
      <c r="H1062" s="9"/>
    </row>
    <row r="1063" spans="4:8" s="3" customFormat="1" ht="21" customHeight="1">
      <c r="D1063" s="16"/>
      <c r="E1063" s="16"/>
      <c r="F1063" s="9"/>
      <c r="G1063" s="9"/>
      <c r="H1063" s="9"/>
    </row>
    <row r="1064" spans="4:8" s="3" customFormat="1" ht="21" customHeight="1">
      <c r="D1064" s="16"/>
      <c r="E1064" s="16"/>
      <c r="F1064" s="9"/>
      <c r="G1064" s="9"/>
      <c r="H1064" s="9"/>
    </row>
    <row r="1065" spans="4:8" s="3" customFormat="1" ht="21" customHeight="1">
      <c r="D1065" s="16"/>
      <c r="E1065" s="16"/>
      <c r="F1065" s="9"/>
      <c r="G1065" s="9"/>
      <c r="H1065" s="9"/>
    </row>
    <row r="1066" spans="4:8" s="3" customFormat="1" ht="21" customHeight="1">
      <c r="D1066" s="16"/>
      <c r="E1066" s="16"/>
      <c r="F1066" s="9"/>
      <c r="G1066" s="9"/>
      <c r="H1066" s="9"/>
    </row>
    <row r="1067" spans="4:8" s="3" customFormat="1" ht="21" customHeight="1">
      <c r="D1067" s="16"/>
      <c r="E1067" s="16"/>
      <c r="F1067" s="9"/>
      <c r="G1067" s="9"/>
      <c r="H1067" s="9"/>
    </row>
    <row r="1068" spans="4:8" s="3" customFormat="1" ht="21" customHeight="1">
      <c r="D1068" s="16"/>
      <c r="E1068" s="16"/>
      <c r="F1068" s="9"/>
      <c r="G1068" s="9"/>
      <c r="H1068" s="9"/>
    </row>
    <row r="1069" spans="4:8" s="3" customFormat="1" ht="21" customHeight="1">
      <c r="D1069" s="16"/>
      <c r="E1069" s="16"/>
      <c r="F1069" s="9"/>
      <c r="G1069" s="9"/>
      <c r="H1069" s="9"/>
    </row>
    <row r="1070" spans="4:8" s="3" customFormat="1" ht="21" customHeight="1">
      <c r="D1070" s="16"/>
      <c r="E1070" s="16"/>
      <c r="F1070" s="9"/>
      <c r="G1070" s="9"/>
      <c r="H1070" s="9"/>
    </row>
    <row r="1071" spans="4:8" s="3" customFormat="1" ht="21" customHeight="1">
      <c r="D1071" s="16"/>
      <c r="E1071" s="16"/>
      <c r="F1071" s="9"/>
      <c r="G1071" s="9"/>
      <c r="H1071" s="9"/>
    </row>
    <row r="1072" spans="4:8" s="3" customFormat="1" ht="21" customHeight="1">
      <c r="D1072" s="16"/>
      <c r="E1072" s="16"/>
      <c r="F1072" s="9"/>
      <c r="G1072" s="9"/>
      <c r="H1072" s="9"/>
    </row>
    <row r="1073" spans="4:8" s="3" customFormat="1" ht="21" customHeight="1">
      <c r="D1073" s="16"/>
      <c r="E1073" s="16"/>
      <c r="F1073" s="9"/>
      <c r="G1073" s="9"/>
      <c r="H1073" s="9"/>
    </row>
    <row r="1074" spans="4:8" s="3" customFormat="1" ht="21" customHeight="1">
      <c r="D1074" s="16"/>
      <c r="E1074" s="16"/>
      <c r="F1074" s="9"/>
      <c r="G1074" s="9"/>
      <c r="H1074" s="9"/>
    </row>
    <row r="1075" spans="4:8" s="3" customFormat="1" ht="21" customHeight="1">
      <c r="D1075" s="16"/>
      <c r="E1075" s="16"/>
      <c r="F1075" s="9"/>
      <c r="G1075" s="9"/>
      <c r="H1075" s="9"/>
    </row>
    <row r="1076" spans="4:8" s="3" customFormat="1" ht="21" customHeight="1">
      <c r="D1076" s="16"/>
      <c r="E1076" s="16"/>
      <c r="F1076" s="9"/>
      <c r="G1076" s="9"/>
      <c r="H1076" s="9"/>
    </row>
    <row r="1077" spans="4:8" s="3" customFormat="1" ht="21" customHeight="1">
      <c r="D1077" s="16"/>
      <c r="E1077" s="16"/>
      <c r="F1077" s="9"/>
      <c r="G1077" s="9"/>
      <c r="H1077" s="9"/>
    </row>
    <row r="1078" spans="4:8" s="3" customFormat="1" ht="21" customHeight="1">
      <c r="D1078" s="16"/>
      <c r="E1078" s="16"/>
      <c r="F1078" s="9"/>
      <c r="G1078" s="9"/>
      <c r="H1078" s="9"/>
    </row>
    <row r="1079" spans="4:8" s="3" customFormat="1" ht="21" customHeight="1">
      <c r="D1079" s="16"/>
      <c r="E1079" s="16"/>
      <c r="F1079" s="9"/>
      <c r="G1079" s="9"/>
      <c r="H1079" s="9"/>
    </row>
    <row r="1080" spans="4:8" s="3" customFormat="1" ht="21" customHeight="1">
      <c r="D1080" s="16"/>
      <c r="E1080" s="16"/>
      <c r="F1080" s="9"/>
      <c r="G1080" s="9"/>
      <c r="H1080" s="9"/>
    </row>
    <row r="1081" spans="4:8" s="3" customFormat="1" ht="21" customHeight="1">
      <c r="D1081" s="16"/>
      <c r="E1081" s="16"/>
      <c r="F1081" s="9"/>
      <c r="G1081" s="9"/>
      <c r="H1081" s="9"/>
    </row>
    <row r="1082" spans="4:8" s="3" customFormat="1" ht="21" customHeight="1">
      <c r="D1082" s="16"/>
      <c r="E1082" s="16"/>
      <c r="F1082" s="9"/>
      <c r="G1082" s="9"/>
      <c r="H1082" s="9"/>
    </row>
    <row r="1083" spans="4:8" s="3" customFormat="1" ht="21" customHeight="1">
      <c r="D1083" s="16"/>
      <c r="E1083" s="16"/>
      <c r="F1083" s="9"/>
      <c r="G1083" s="9"/>
      <c r="H1083" s="9"/>
    </row>
    <row r="1084" spans="4:8" s="3" customFormat="1" ht="21" customHeight="1">
      <c r="D1084" s="16"/>
      <c r="E1084" s="16"/>
      <c r="F1084" s="9"/>
      <c r="G1084" s="9"/>
      <c r="H1084" s="9"/>
    </row>
    <row r="1085" spans="4:8" s="3" customFormat="1" ht="21" customHeight="1">
      <c r="D1085" s="16"/>
      <c r="E1085" s="16"/>
      <c r="F1085" s="9"/>
      <c r="G1085" s="9"/>
      <c r="H1085" s="9"/>
    </row>
    <row r="1086" spans="4:8" s="3" customFormat="1" ht="21" customHeight="1">
      <c r="D1086" s="16"/>
      <c r="E1086" s="16"/>
      <c r="F1086" s="9"/>
      <c r="G1086" s="9"/>
      <c r="H1086" s="9"/>
    </row>
    <row r="1087" spans="4:8" s="3" customFormat="1" ht="21" customHeight="1">
      <c r="D1087" s="16"/>
      <c r="E1087" s="16"/>
      <c r="F1087" s="9"/>
      <c r="G1087" s="9"/>
      <c r="H1087" s="9"/>
    </row>
    <row r="1088" spans="4:8" s="3" customFormat="1" ht="21" customHeight="1">
      <c r="D1088" s="16"/>
      <c r="E1088" s="16"/>
      <c r="F1088" s="9"/>
      <c r="G1088" s="9"/>
      <c r="H1088" s="9"/>
    </row>
    <row r="1089" spans="4:8" s="3" customFormat="1" ht="21" customHeight="1">
      <c r="D1089" s="16"/>
      <c r="E1089" s="16"/>
      <c r="F1089" s="9"/>
      <c r="G1089" s="9"/>
      <c r="H1089" s="9"/>
    </row>
    <row r="1090" spans="4:8" s="3" customFormat="1" ht="21" customHeight="1">
      <c r="D1090" s="16"/>
      <c r="E1090" s="16"/>
      <c r="F1090" s="9"/>
      <c r="G1090" s="9"/>
      <c r="H1090" s="9"/>
    </row>
    <row r="1091" spans="4:8" s="3" customFormat="1" ht="21" customHeight="1">
      <c r="D1091" s="16"/>
      <c r="E1091" s="16"/>
      <c r="F1091" s="9"/>
      <c r="G1091" s="9"/>
      <c r="H1091" s="9"/>
    </row>
    <row r="1092" spans="4:8" s="3" customFormat="1" ht="21" customHeight="1">
      <c r="D1092" s="16"/>
      <c r="E1092" s="16"/>
      <c r="F1092" s="9"/>
      <c r="G1092" s="9"/>
      <c r="H1092" s="9"/>
    </row>
    <row r="1093" spans="4:8" s="3" customFormat="1" ht="21" customHeight="1">
      <c r="D1093" s="16"/>
      <c r="E1093" s="16"/>
      <c r="F1093" s="9"/>
      <c r="G1093" s="9"/>
      <c r="H1093" s="9"/>
    </row>
    <row r="1094" spans="4:8" s="3" customFormat="1" ht="21" customHeight="1">
      <c r="D1094" s="16"/>
      <c r="E1094" s="16"/>
      <c r="F1094" s="9"/>
      <c r="G1094" s="9"/>
      <c r="H1094" s="9"/>
    </row>
    <row r="1095" spans="4:8" s="3" customFormat="1" ht="21" customHeight="1">
      <c r="D1095" s="16"/>
      <c r="E1095" s="16"/>
      <c r="F1095" s="9"/>
      <c r="G1095" s="9"/>
      <c r="H1095" s="9"/>
    </row>
    <row r="1096" spans="4:8" s="3" customFormat="1" ht="21" customHeight="1">
      <c r="D1096" s="16"/>
      <c r="E1096" s="16"/>
      <c r="F1096" s="9"/>
      <c r="G1096" s="9"/>
      <c r="H1096" s="9"/>
    </row>
    <row r="1097" spans="4:8" s="3" customFormat="1" ht="21" customHeight="1">
      <c r="D1097" s="16"/>
      <c r="E1097" s="16"/>
      <c r="F1097" s="9"/>
      <c r="G1097" s="9"/>
      <c r="H1097" s="9"/>
    </row>
    <row r="1098" spans="4:8" s="3" customFormat="1" ht="21" customHeight="1">
      <c r="D1098" s="16"/>
      <c r="E1098" s="16"/>
      <c r="F1098" s="9"/>
      <c r="G1098" s="9"/>
      <c r="H1098" s="9"/>
    </row>
    <row r="1099" spans="4:8" s="3" customFormat="1" ht="21" customHeight="1">
      <c r="D1099" s="16"/>
      <c r="E1099" s="16"/>
      <c r="F1099" s="9"/>
      <c r="G1099" s="9"/>
      <c r="H1099" s="9"/>
    </row>
    <row r="1100" spans="4:8" s="3" customFormat="1" ht="21" customHeight="1">
      <c r="D1100" s="16"/>
      <c r="E1100" s="16"/>
      <c r="F1100" s="9"/>
      <c r="G1100" s="9"/>
      <c r="H1100" s="9"/>
    </row>
    <row r="1101" spans="4:8" s="3" customFormat="1" ht="21" customHeight="1">
      <c r="D1101" s="16"/>
      <c r="E1101" s="16"/>
      <c r="F1101" s="9"/>
      <c r="G1101" s="9"/>
      <c r="H1101" s="9"/>
    </row>
    <row r="1102" spans="4:8" s="3" customFormat="1" ht="21" customHeight="1">
      <c r="D1102" s="16"/>
      <c r="E1102" s="16"/>
      <c r="F1102" s="9"/>
      <c r="G1102" s="9"/>
      <c r="H1102" s="9"/>
    </row>
    <row r="1103" spans="4:8" s="3" customFormat="1" ht="21" customHeight="1">
      <c r="D1103" s="16"/>
      <c r="E1103" s="16"/>
      <c r="F1103" s="9"/>
      <c r="G1103" s="9"/>
      <c r="H1103" s="9"/>
    </row>
    <row r="1104" spans="4:8" s="3" customFormat="1" ht="21" customHeight="1">
      <c r="D1104" s="16"/>
      <c r="E1104" s="16"/>
      <c r="F1104" s="9"/>
      <c r="G1104" s="9"/>
      <c r="H1104" s="9"/>
    </row>
    <row r="1105" spans="4:8" s="3" customFormat="1" ht="21" customHeight="1">
      <c r="D1105" s="16"/>
      <c r="E1105" s="16"/>
      <c r="F1105" s="9"/>
      <c r="G1105" s="9"/>
      <c r="H1105" s="9"/>
    </row>
    <row r="1106" spans="4:8" s="3" customFormat="1" ht="21" customHeight="1">
      <c r="D1106" s="16"/>
      <c r="E1106" s="16"/>
      <c r="F1106" s="9"/>
      <c r="G1106" s="9"/>
      <c r="H1106" s="9"/>
    </row>
    <row r="1107" spans="4:8" s="3" customFormat="1" ht="21" customHeight="1">
      <c r="D1107" s="16"/>
      <c r="E1107" s="16"/>
      <c r="F1107" s="9"/>
      <c r="G1107" s="9"/>
      <c r="H1107" s="9"/>
    </row>
    <row r="1108" spans="4:8" s="3" customFormat="1" ht="21" customHeight="1">
      <c r="D1108" s="16"/>
      <c r="E1108" s="16"/>
      <c r="F1108" s="9"/>
      <c r="G1108" s="9"/>
      <c r="H1108" s="9"/>
    </row>
    <row r="1109" spans="4:8" s="3" customFormat="1" ht="21" customHeight="1">
      <c r="D1109" s="16"/>
      <c r="E1109" s="16"/>
      <c r="F1109" s="9"/>
      <c r="G1109" s="9"/>
      <c r="H1109" s="9"/>
    </row>
    <row r="1110" spans="4:8" s="3" customFormat="1" ht="21" customHeight="1">
      <c r="D1110" s="16"/>
      <c r="E1110" s="16"/>
      <c r="F1110" s="9"/>
      <c r="G1110" s="9"/>
      <c r="H1110" s="9"/>
    </row>
    <row r="1111" spans="4:8" s="3" customFormat="1" ht="21" customHeight="1">
      <c r="D1111" s="16"/>
      <c r="E1111" s="16"/>
      <c r="F1111" s="9"/>
      <c r="G1111" s="9"/>
      <c r="H1111" s="9"/>
    </row>
    <row r="1112" spans="4:8" s="3" customFormat="1" ht="21" customHeight="1">
      <c r="D1112" s="16"/>
      <c r="E1112" s="16"/>
      <c r="F1112" s="9"/>
      <c r="G1112" s="9"/>
      <c r="H1112" s="9"/>
    </row>
    <row r="1113" spans="4:8" s="3" customFormat="1" ht="21" customHeight="1">
      <c r="D1113" s="16"/>
      <c r="E1113" s="16"/>
      <c r="F1113" s="9"/>
      <c r="G1113" s="9"/>
      <c r="H1113" s="9"/>
    </row>
    <row r="1114" spans="4:8" s="3" customFormat="1" ht="21" customHeight="1">
      <c r="D1114" s="16"/>
      <c r="E1114" s="16"/>
      <c r="F1114" s="9"/>
      <c r="G1114" s="9"/>
      <c r="H1114" s="9"/>
    </row>
    <row r="1115" spans="4:8" s="3" customFormat="1" ht="21" customHeight="1">
      <c r="D1115" s="16"/>
      <c r="E1115" s="16"/>
      <c r="F1115" s="9"/>
      <c r="G1115" s="9"/>
      <c r="H1115" s="9"/>
    </row>
    <row r="1116" spans="4:8" s="3" customFormat="1" ht="21" customHeight="1">
      <c r="D1116" s="16"/>
      <c r="E1116" s="16"/>
      <c r="F1116" s="9"/>
      <c r="G1116" s="9"/>
      <c r="H1116" s="9"/>
    </row>
    <row r="1117" spans="4:8" s="3" customFormat="1" ht="21" customHeight="1">
      <c r="D1117" s="16"/>
      <c r="E1117" s="16"/>
      <c r="F1117" s="9"/>
      <c r="G1117" s="9"/>
      <c r="H1117" s="9"/>
    </row>
    <row r="1118" spans="4:8" s="3" customFormat="1" ht="21" customHeight="1">
      <c r="D1118" s="16"/>
      <c r="E1118" s="16"/>
      <c r="F1118" s="9"/>
      <c r="G1118" s="9"/>
      <c r="H1118" s="9"/>
    </row>
    <row r="1119" spans="4:8" s="3" customFormat="1" ht="21" customHeight="1">
      <c r="D1119" s="16"/>
      <c r="E1119" s="16"/>
      <c r="F1119" s="9"/>
      <c r="G1119" s="9"/>
      <c r="H1119" s="9"/>
    </row>
    <row r="1120" spans="4:8" s="3" customFormat="1" ht="21" customHeight="1">
      <c r="D1120" s="16"/>
      <c r="E1120" s="16"/>
      <c r="F1120" s="9"/>
      <c r="G1120" s="9"/>
      <c r="H1120" s="9"/>
    </row>
    <row r="1121" spans="4:8" s="3" customFormat="1" ht="21" customHeight="1">
      <c r="D1121" s="16"/>
      <c r="E1121" s="16"/>
      <c r="F1121" s="9"/>
      <c r="G1121" s="9"/>
      <c r="H1121" s="9"/>
    </row>
    <row r="1122" spans="4:8" s="3" customFormat="1" ht="21" customHeight="1">
      <c r="D1122" s="16"/>
      <c r="E1122" s="16"/>
      <c r="F1122" s="9"/>
      <c r="G1122" s="9"/>
      <c r="H1122" s="9"/>
    </row>
    <row r="1123" spans="4:8" s="3" customFormat="1" ht="21" customHeight="1">
      <c r="D1123" s="16"/>
      <c r="E1123" s="16"/>
      <c r="F1123" s="9"/>
      <c r="G1123" s="9"/>
      <c r="H1123" s="9"/>
    </row>
    <row r="1124" spans="4:8" s="3" customFormat="1" ht="21" customHeight="1">
      <c r="D1124" s="16"/>
      <c r="E1124" s="16"/>
      <c r="F1124" s="9"/>
      <c r="G1124" s="9"/>
      <c r="H1124" s="9"/>
    </row>
    <row r="1125" spans="4:8" s="3" customFormat="1" ht="21" customHeight="1">
      <c r="D1125" s="16"/>
      <c r="E1125" s="16"/>
      <c r="F1125" s="9"/>
      <c r="G1125" s="9"/>
      <c r="H1125" s="9"/>
    </row>
    <row r="1126" spans="4:8" s="3" customFormat="1" ht="21" customHeight="1">
      <c r="D1126" s="16"/>
      <c r="E1126" s="16"/>
      <c r="F1126" s="9"/>
      <c r="G1126" s="9"/>
      <c r="H1126" s="9"/>
    </row>
    <row r="1127" spans="4:8" s="3" customFormat="1" ht="21" customHeight="1">
      <c r="D1127" s="16"/>
      <c r="E1127" s="16"/>
      <c r="F1127" s="9"/>
      <c r="G1127" s="9"/>
      <c r="H1127" s="9"/>
    </row>
    <row r="1128" spans="4:8" s="3" customFormat="1" ht="21" customHeight="1">
      <c r="D1128" s="16"/>
      <c r="E1128" s="16"/>
      <c r="F1128" s="9"/>
      <c r="G1128" s="9"/>
      <c r="H1128" s="9"/>
    </row>
    <row r="1129" spans="4:8" s="3" customFormat="1" ht="21" customHeight="1">
      <c r="D1129" s="16"/>
      <c r="E1129" s="16"/>
      <c r="F1129" s="9"/>
      <c r="G1129" s="9"/>
      <c r="H1129" s="9"/>
    </row>
    <row r="1130" spans="4:8" s="3" customFormat="1" ht="21" customHeight="1">
      <c r="D1130" s="16"/>
      <c r="E1130" s="16"/>
      <c r="F1130" s="9"/>
      <c r="G1130" s="9"/>
      <c r="H1130" s="9"/>
    </row>
    <row r="1131" spans="4:8" s="3" customFormat="1" ht="21" customHeight="1">
      <c r="D1131" s="16"/>
      <c r="E1131" s="16"/>
      <c r="F1131" s="9"/>
      <c r="G1131" s="9"/>
      <c r="H1131" s="9"/>
    </row>
    <row r="1132" spans="4:8" s="3" customFormat="1" ht="21" customHeight="1">
      <c r="D1132" s="16"/>
      <c r="E1132" s="16"/>
      <c r="F1132" s="9"/>
      <c r="G1132" s="9"/>
      <c r="H1132" s="9"/>
    </row>
    <row r="1133" spans="4:8" s="3" customFormat="1" ht="21" customHeight="1">
      <c r="D1133" s="16"/>
      <c r="E1133" s="16"/>
      <c r="F1133" s="9"/>
      <c r="G1133" s="9"/>
      <c r="H1133" s="9"/>
    </row>
    <row r="1134" spans="4:8" s="3" customFormat="1" ht="21" customHeight="1">
      <c r="D1134" s="16"/>
      <c r="E1134" s="16"/>
      <c r="F1134" s="9"/>
      <c r="G1134" s="9"/>
      <c r="H1134" s="9"/>
    </row>
    <row r="1135" spans="4:8" s="3" customFormat="1" ht="21" customHeight="1">
      <c r="D1135" s="16"/>
      <c r="E1135" s="16"/>
      <c r="F1135" s="9"/>
      <c r="G1135" s="9"/>
      <c r="H1135" s="9"/>
    </row>
    <row r="1136" spans="4:8" s="3" customFormat="1" ht="21" customHeight="1">
      <c r="D1136" s="16"/>
      <c r="E1136" s="16"/>
      <c r="F1136" s="9"/>
      <c r="G1136" s="9"/>
      <c r="H1136" s="9"/>
    </row>
    <row r="1137" spans="4:8" s="3" customFormat="1" ht="21" customHeight="1">
      <c r="D1137" s="16"/>
      <c r="E1137" s="16"/>
      <c r="F1137" s="9"/>
      <c r="G1137" s="9"/>
      <c r="H1137" s="9"/>
    </row>
    <row r="1138" spans="4:8" s="3" customFormat="1" ht="21" customHeight="1">
      <c r="D1138" s="16"/>
      <c r="E1138" s="16"/>
      <c r="F1138" s="9"/>
      <c r="G1138" s="9"/>
      <c r="H1138" s="9"/>
    </row>
    <row r="1139" spans="4:8" s="3" customFormat="1" ht="21" customHeight="1">
      <c r="D1139" s="16"/>
      <c r="E1139" s="16"/>
      <c r="F1139" s="9"/>
      <c r="G1139" s="9"/>
      <c r="H1139" s="9"/>
    </row>
    <row r="1140" spans="4:8" s="3" customFormat="1" ht="21" customHeight="1">
      <c r="D1140" s="16"/>
      <c r="E1140" s="16"/>
      <c r="F1140" s="9"/>
      <c r="G1140" s="9"/>
      <c r="H1140" s="9"/>
    </row>
    <row r="1141" spans="4:8" s="3" customFormat="1" ht="21" customHeight="1">
      <c r="D1141" s="16"/>
      <c r="E1141" s="16"/>
      <c r="F1141" s="9"/>
      <c r="G1141" s="9"/>
      <c r="H1141" s="9"/>
    </row>
    <row r="1142" spans="4:8" s="3" customFormat="1" ht="21" customHeight="1">
      <c r="D1142" s="16"/>
      <c r="E1142" s="16"/>
      <c r="F1142" s="9"/>
      <c r="G1142" s="9"/>
      <c r="H1142" s="9"/>
    </row>
    <row r="1143" spans="4:8" s="3" customFormat="1" ht="21" customHeight="1">
      <c r="D1143" s="16"/>
      <c r="E1143" s="16"/>
      <c r="F1143" s="9"/>
      <c r="G1143" s="9"/>
      <c r="H1143" s="9"/>
    </row>
    <row r="1144" spans="4:8" s="3" customFormat="1" ht="21" customHeight="1">
      <c r="D1144" s="16"/>
      <c r="E1144" s="16"/>
      <c r="F1144" s="9"/>
      <c r="G1144" s="9"/>
      <c r="H1144" s="9"/>
    </row>
    <row r="1145" spans="4:8" s="3" customFormat="1" ht="21" customHeight="1">
      <c r="D1145" s="16"/>
      <c r="E1145" s="16"/>
      <c r="F1145" s="9"/>
      <c r="G1145" s="9"/>
      <c r="H1145" s="9"/>
    </row>
    <row r="1146" spans="4:8" s="3" customFormat="1" ht="21" customHeight="1">
      <c r="D1146" s="16"/>
      <c r="E1146" s="16"/>
      <c r="F1146" s="9"/>
      <c r="G1146" s="9"/>
      <c r="H1146" s="9"/>
    </row>
    <row r="1147" spans="4:8" s="3" customFormat="1" ht="21" customHeight="1">
      <c r="D1147" s="16"/>
      <c r="E1147" s="16"/>
      <c r="F1147" s="9"/>
      <c r="G1147" s="9"/>
      <c r="H1147" s="9"/>
    </row>
    <row r="1148" spans="4:8" s="3" customFormat="1" ht="21" customHeight="1">
      <c r="D1148" s="16"/>
      <c r="E1148" s="16"/>
      <c r="F1148" s="9"/>
      <c r="G1148" s="9"/>
      <c r="H1148" s="9"/>
    </row>
    <row r="1149" spans="4:8" s="3" customFormat="1" ht="21" customHeight="1">
      <c r="D1149" s="16"/>
      <c r="E1149" s="16"/>
      <c r="F1149" s="9"/>
      <c r="G1149" s="9"/>
      <c r="H1149" s="9"/>
    </row>
    <row r="1150" spans="4:8" s="3" customFormat="1" ht="21" customHeight="1">
      <c r="D1150" s="16"/>
      <c r="E1150" s="16"/>
      <c r="F1150" s="9"/>
      <c r="G1150" s="9"/>
      <c r="H1150" s="9"/>
    </row>
    <row r="1151" spans="4:8" s="3" customFormat="1" ht="21" customHeight="1">
      <c r="D1151" s="16"/>
      <c r="E1151" s="16"/>
      <c r="F1151" s="9"/>
      <c r="G1151" s="9"/>
      <c r="H1151" s="9"/>
    </row>
    <row r="1152" spans="4:8" s="3" customFormat="1" ht="21" customHeight="1">
      <c r="D1152" s="16"/>
      <c r="E1152" s="16"/>
      <c r="F1152" s="9"/>
      <c r="G1152" s="9"/>
      <c r="H1152" s="9"/>
    </row>
    <row r="1153" spans="4:8" s="3" customFormat="1" ht="21" customHeight="1">
      <c r="D1153" s="16"/>
      <c r="E1153" s="16"/>
      <c r="F1153" s="9"/>
      <c r="G1153" s="9"/>
      <c r="H1153" s="9"/>
    </row>
    <row r="1154" spans="4:8" s="3" customFormat="1" ht="21" customHeight="1">
      <c r="D1154" s="16"/>
      <c r="E1154" s="16"/>
      <c r="F1154" s="9"/>
      <c r="G1154" s="9"/>
      <c r="H1154" s="9"/>
    </row>
    <row r="1155" spans="4:8" s="3" customFormat="1" ht="21" customHeight="1">
      <c r="D1155" s="16"/>
      <c r="E1155" s="16"/>
      <c r="F1155" s="9"/>
      <c r="G1155" s="9"/>
      <c r="H1155" s="9"/>
    </row>
    <row r="1156" spans="4:8" s="3" customFormat="1" ht="21" customHeight="1">
      <c r="D1156" s="16"/>
      <c r="E1156" s="16"/>
      <c r="F1156" s="9"/>
      <c r="G1156" s="9"/>
      <c r="H1156" s="9"/>
    </row>
    <row r="1157" spans="4:8" s="3" customFormat="1" ht="21" customHeight="1">
      <c r="D1157" s="16"/>
      <c r="E1157" s="16"/>
      <c r="F1157" s="9"/>
      <c r="G1157" s="9"/>
      <c r="H1157" s="9"/>
    </row>
    <row r="1158" spans="4:8" s="3" customFormat="1" ht="21" customHeight="1">
      <c r="D1158" s="16"/>
      <c r="E1158" s="16"/>
      <c r="F1158" s="9"/>
      <c r="G1158" s="9"/>
      <c r="H1158" s="9"/>
    </row>
    <row r="1159" spans="4:8" s="3" customFormat="1" ht="21" customHeight="1">
      <c r="D1159" s="16"/>
      <c r="E1159" s="16"/>
      <c r="F1159" s="9"/>
      <c r="G1159" s="9"/>
      <c r="H1159" s="9"/>
    </row>
    <row r="1160" spans="4:8" s="3" customFormat="1" ht="21" customHeight="1">
      <c r="D1160" s="16"/>
      <c r="E1160" s="16"/>
      <c r="F1160" s="9"/>
      <c r="G1160" s="9"/>
      <c r="H1160" s="9"/>
    </row>
    <row r="1161" spans="4:8" s="3" customFormat="1" ht="21" customHeight="1">
      <c r="D1161" s="16"/>
      <c r="E1161" s="16"/>
      <c r="F1161" s="9"/>
      <c r="G1161" s="9"/>
      <c r="H1161" s="9"/>
    </row>
    <row r="1162" spans="4:8" s="3" customFormat="1" ht="21" customHeight="1">
      <c r="D1162" s="16"/>
      <c r="E1162" s="16"/>
      <c r="F1162" s="9"/>
      <c r="G1162" s="9"/>
      <c r="H1162" s="9"/>
    </row>
    <row r="1163" spans="4:8" s="3" customFormat="1" ht="21" customHeight="1">
      <c r="D1163" s="16"/>
      <c r="E1163" s="16"/>
      <c r="F1163" s="9"/>
      <c r="G1163" s="9"/>
      <c r="H1163" s="9"/>
    </row>
    <row r="1164" spans="4:8" s="3" customFormat="1" ht="21" customHeight="1">
      <c r="D1164" s="16"/>
      <c r="E1164" s="16"/>
      <c r="F1164" s="9"/>
      <c r="G1164" s="9"/>
      <c r="H1164" s="9"/>
    </row>
    <row r="1165" spans="4:8" s="3" customFormat="1" ht="21" customHeight="1">
      <c r="D1165" s="16"/>
      <c r="E1165" s="16"/>
      <c r="F1165" s="9"/>
      <c r="G1165" s="9"/>
      <c r="H1165" s="9"/>
    </row>
    <row r="1166" spans="4:8" s="3" customFormat="1" ht="21" customHeight="1">
      <c r="D1166" s="16"/>
      <c r="E1166" s="16"/>
      <c r="F1166" s="9"/>
      <c r="G1166" s="9"/>
      <c r="H1166" s="9"/>
    </row>
    <row r="1167" spans="4:8" s="3" customFormat="1" ht="21" customHeight="1">
      <c r="D1167" s="16"/>
      <c r="E1167" s="16"/>
      <c r="F1167" s="9"/>
      <c r="G1167" s="9"/>
      <c r="H1167" s="9"/>
    </row>
    <row r="1168" spans="4:8" s="3" customFormat="1" ht="21" customHeight="1">
      <c r="D1168" s="16"/>
      <c r="E1168" s="16"/>
      <c r="F1168" s="9"/>
      <c r="G1168" s="9"/>
      <c r="H1168" s="9"/>
    </row>
    <row r="1169" spans="4:8" s="3" customFormat="1" ht="21" customHeight="1">
      <c r="D1169" s="16"/>
      <c r="E1169" s="16"/>
      <c r="F1169" s="9"/>
      <c r="G1169" s="9"/>
      <c r="H1169" s="9"/>
    </row>
    <row r="1170" spans="4:8" s="3" customFormat="1" ht="21" customHeight="1">
      <c r="D1170" s="16"/>
      <c r="E1170" s="16"/>
      <c r="F1170" s="9"/>
      <c r="G1170" s="9"/>
      <c r="H1170" s="9"/>
    </row>
    <row r="1171" spans="4:8" s="3" customFormat="1" ht="21" customHeight="1">
      <c r="D1171" s="16"/>
      <c r="E1171" s="16"/>
      <c r="F1171" s="9"/>
      <c r="G1171" s="9"/>
      <c r="H1171" s="9"/>
    </row>
    <row r="1172" spans="4:8" s="3" customFormat="1" ht="21" customHeight="1">
      <c r="D1172" s="16"/>
      <c r="E1172" s="16"/>
      <c r="F1172" s="9"/>
      <c r="G1172" s="9"/>
      <c r="H1172" s="9"/>
    </row>
    <row r="1173" spans="4:8" s="3" customFormat="1" ht="21" customHeight="1">
      <c r="D1173" s="16"/>
      <c r="E1173" s="16"/>
      <c r="F1173" s="9"/>
      <c r="G1173" s="9"/>
      <c r="H1173" s="9"/>
    </row>
    <row r="1174" spans="4:8" s="3" customFormat="1" ht="21" customHeight="1">
      <c r="D1174" s="16"/>
      <c r="E1174" s="16"/>
      <c r="F1174" s="9"/>
      <c r="G1174" s="9"/>
      <c r="H1174" s="9"/>
    </row>
    <row r="1175" spans="4:8" s="3" customFormat="1" ht="21" customHeight="1">
      <c r="D1175" s="16"/>
      <c r="E1175" s="16"/>
      <c r="F1175" s="9"/>
      <c r="G1175" s="9"/>
      <c r="H1175" s="9"/>
    </row>
    <row r="1176" spans="4:8" s="3" customFormat="1" ht="21" customHeight="1">
      <c r="D1176" s="16"/>
      <c r="E1176" s="16"/>
      <c r="F1176" s="9"/>
      <c r="G1176" s="9"/>
      <c r="H1176" s="9"/>
    </row>
    <row r="1177" spans="4:8" s="3" customFormat="1" ht="21" customHeight="1">
      <c r="D1177" s="16"/>
      <c r="E1177" s="16"/>
      <c r="F1177" s="9"/>
      <c r="G1177" s="9"/>
      <c r="H1177" s="9"/>
    </row>
    <row r="1178" spans="4:8" s="3" customFormat="1" ht="21" customHeight="1">
      <c r="D1178" s="16"/>
      <c r="E1178" s="16"/>
      <c r="F1178" s="9"/>
      <c r="G1178" s="9"/>
      <c r="H1178" s="9"/>
    </row>
    <row r="1179" spans="4:8" s="3" customFormat="1" ht="21" customHeight="1">
      <c r="D1179" s="16"/>
      <c r="E1179" s="16"/>
      <c r="F1179" s="9"/>
      <c r="G1179" s="9"/>
      <c r="H1179" s="9"/>
    </row>
    <row r="1180" spans="4:8" s="3" customFormat="1" ht="21" customHeight="1">
      <c r="D1180" s="16"/>
      <c r="E1180" s="16"/>
      <c r="F1180" s="9"/>
      <c r="G1180" s="9"/>
      <c r="H1180" s="9"/>
    </row>
    <row r="1181" spans="4:8" s="3" customFormat="1" ht="21" customHeight="1">
      <c r="D1181" s="16"/>
      <c r="E1181" s="16"/>
      <c r="F1181" s="9"/>
      <c r="G1181" s="9"/>
      <c r="H1181" s="9"/>
    </row>
    <row r="1182" spans="4:8" s="3" customFormat="1" ht="21" customHeight="1">
      <c r="D1182" s="16"/>
      <c r="E1182" s="16"/>
      <c r="F1182" s="9"/>
      <c r="G1182" s="9"/>
      <c r="H1182" s="9"/>
    </row>
    <row r="1183" spans="4:8" s="3" customFormat="1" ht="21" customHeight="1">
      <c r="D1183" s="16"/>
      <c r="E1183" s="16"/>
      <c r="F1183" s="9"/>
      <c r="G1183" s="9"/>
      <c r="H1183" s="9"/>
    </row>
    <row r="1184" spans="4:8" s="3" customFormat="1" ht="21" customHeight="1">
      <c r="D1184" s="16"/>
      <c r="E1184" s="16"/>
      <c r="F1184" s="9"/>
      <c r="G1184" s="9"/>
      <c r="H1184" s="9"/>
    </row>
    <row r="1185" spans="4:8" s="3" customFormat="1" ht="21" customHeight="1">
      <c r="D1185" s="16"/>
      <c r="E1185" s="16"/>
      <c r="F1185" s="9"/>
      <c r="G1185" s="9"/>
      <c r="H1185" s="9"/>
    </row>
    <row r="1186" spans="4:8" s="3" customFormat="1" ht="21" customHeight="1">
      <c r="D1186" s="16"/>
      <c r="E1186" s="16"/>
      <c r="F1186" s="9"/>
      <c r="G1186" s="9"/>
      <c r="H1186" s="9"/>
    </row>
    <row r="1187" spans="4:8" s="3" customFormat="1" ht="21" customHeight="1">
      <c r="D1187" s="16"/>
      <c r="E1187" s="16"/>
      <c r="F1187" s="9"/>
      <c r="G1187" s="9"/>
      <c r="H1187" s="9"/>
    </row>
    <row r="1188" spans="4:8" s="3" customFormat="1" ht="21" customHeight="1">
      <c r="D1188" s="16"/>
      <c r="E1188" s="16"/>
      <c r="F1188" s="9"/>
      <c r="G1188" s="9"/>
      <c r="H1188" s="9"/>
    </row>
    <row r="1189" spans="4:8" s="3" customFormat="1" ht="21" customHeight="1">
      <c r="D1189" s="16"/>
      <c r="E1189" s="16"/>
      <c r="F1189" s="9"/>
      <c r="G1189" s="9"/>
      <c r="H1189" s="9"/>
    </row>
    <row r="1190" spans="4:8" s="3" customFormat="1" ht="21" customHeight="1">
      <c r="D1190" s="16"/>
      <c r="E1190" s="16"/>
      <c r="F1190" s="9"/>
      <c r="G1190" s="9"/>
      <c r="H1190" s="9"/>
    </row>
    <row r="1191" spans="4:8" s="3" customFormat="1" ht="21" customHeight="1">
      <c r="D1191" s="16"/>
      <c r="E1191" s="16"/>
      <c r="F1191" s="9"/>
      <c r="G1191" s="9"/>
      <c r="H1191" s="9"/>
    </row>
    <row r="1192" spans="4:8" s="3" customFormat="1" ht="21" customHeight="1">
      <c r="D1192" s="16"/>
      <c r="E1192" s="16"/>
      <c r="F1192" s="9"/>
      <c r="G1192" s="9"/>
      <c r="H1192" s="9"/>
    </row>
    <row r="1193" spans="4:8" s="3" customFormat="1" ht="21" customHeight="1">
      <c r="D1193" s="16"/>
      <c r="E1193" s="16"/>
      <c r="F1193" s="9"/>
      <c r="G1193" s="9"/>
      <c r="H1193" s="9"/>
    </row>
    <row r="1194" spans="4:8" s="3" customFormat="1" ht="21" customHeight="1">
      <c r="D1194" s="16"/>
      <c r="E1194" s="16"/>
      <c r="F1194" s="9"/>
      <c r="G1194" s="9"/>
      <c r="H1194" s="9"/>
    </row>
    <row r="1195" spans="4:8" s="3" customFormat="1" ht="21" customHeight="1">
      <c r="D1195" s="16"/>
      <c r="E1195" s="16"/>
      <c r="F1195" s="9"/>
      <c r="G1195" s="9"/>
      <c r="H1195" s="9"/>
    </row>
    <row r="1196" spans="4:8" s="3" customFormat="1" ht="21" customHeight="1">
      <c r="D1196" s="16"/>
      <c r="E1196" s="16"/>
      <c r="F1196" s="9"/>
      <c r="G1196" s="9"/>
      <c r="H1196" s="9"/>
    </row>
    <row r="1197" spans="4:8" s="3" customFormat="1" ht="21" customHeight="1">
      <c r="D1197" s="16"/>
      <c r="E1197" s="16"/>
      <c r="F1197" s="9"/>
      <c r="G1197" s="9"/>
      <c r="H1197" s="9"/>
    </row>
    <row r="1198" spans="4:8" s="3" customFormat="1" ht="21" customHeight="1">
      <c r="D1198" s="16"/>
      <c r="E1198" s="16"/>
      <c r="F1198" s="9"/>
      <c r="G1198" s="9"/>
      <c r="H1198" s="9"/>
    </row>
    <row r="1199" spans="4:8" s="3" customFormat="1" ht="21" customHeight="1">
      <c r="D1199" s="16"/>
      <c r="E1199" s="16"/>
      <c r="F1199" s="9"/>
      <c r="G1199" s="9"/>
      <c r="H1199" s="9"/>
    </row>
    <row r="1200" spans="4:8" s="3" customFormat="1" ht="21" customHeight="1">
      <c r="D1200" s="16"/>
      <c r="E1200" s="16"/>
      <c r="F1200" s="9"/>
      <c r="G1200" s="9"/>
      <c r="H1200" s="9"/>
    </row>
    <row r="1201" spans="4:8" s="3" customFormat="1" ht="21" customHeight="1">
      <c r="D1201" s="16"/>
      <c r="E1201" s="16"/>
      <c r="F1201" s="9"/>
      <c r="G1201" s="9"/>
      <c r="H1201" s="9"/>
    </row>
    <row r="1202" spans="4:8" s="3" customFormat="1" ht="21" customHeight="1">
      <c r="D1202" s="16"/>
      <c r="E1202" s="16"/>
      <c r="F1202" s="9"/>
      <c r="G1202" s="9"/>
      <c r="H1202" s="9"/>
    </row>
    <row r="1203" spans="4:8" s="3" customFormat="1" ht="21" customHeight="1">
      <c r="D1203" s="16"/>
      <c r="E1203" s="16"/>
      <c r="F1203" s="9"/>
      <c r="G1203" s="9"/>
      <c r="H1203" s="9"/>
    </row>
    <row r="1204" spans="4:8" s="3" customFormat="1" ht="21" customHeight="1">
      <c r="D1204" s="16"/>
      <c r="E1204" s="16"/>
      <c r="F1204" s="9"/>
      <c r="G1204" s="9"/>
      <c r="H1204" s="9"/>
    </row>
    <row r="1205" spans="4:8" s="3" customFormat="1" ht="21" customHeight="1">
      <c r="D1205" s="16"/>
      <c r="E1205" s="16"/>
      <c r="F1205" s="9"/>
      <c r="G1205" s="9"/>
      <c r="H1205" s="9"/>
    </row>
    <row r="1206" spans="4:8" s="3" customFormat="1" ht="21" customHeight="1">
      <c r="D1206" s="16"/>
      <c r="E1206" s="16"/>
      <c r="F1206" s="9"/>
      <c r="G1206" s="9"/>
      <c r="H1206" s="9"/>
    </row>
    <row r="1207" spans="4:8" s="3" customFormat="1" ht="21" customHeight="1">
      <c r="D1207" s="16"/>
      <c r="E1207" s="16"/>
      <c r="F1207" s="9"/>
      <c r="G1207" s="9"/>
      <c r="H1207" s="9"/>
    </row>
    <row r="1208" spans="4:8" s="3" customFormat="1" ht="21" customHeight="1">
      <c r="D1208" s="16"/>
      <c r="E1208" s="16"/>
      <c r="F1208" s="9"/>
      <c r="G1208" s="9"/>
      <c r="H1208" s="9"/>
    </row>
    <row r="1209" spans="4:8" s="3" customFormat="1" ht="21" customHeight="1">
      <c r="D1209" s="16"/>
      <c r="E1209" s="16"/>
      <c r="F1209" s="9"/>
      <c r="G1209" s="9"/>
      <c r="H1209" s="9"/>
    </row>
    <row r="1210" spans="4:8" s="3" customFormat="1" ht="21" customHeight="1">
      <c r="D1210" s="16"/>
      <c r="E1210" s="16"/>
      <c r="F1210" s="9"/>
      <c r="G1210" s="9"/>
      <c r="H1210" s="9"/>
    </row>
    <row r="1211" spans="4:8" s="3" customFormat="1" ht="21" customHeight="1">
      <c r="D1211" s="16"/>
      <c r="E1211" s="16"/>
      <c r="F1211" s="9"/>
      <c r="G1211" s="9"/>
      <c r="H1211" s="9"/>
    </row>
    <row r="1212" spans="4:8" s="3" customFormat="1" ht="21" customHeight="1">
      <c r="D1212" s="16"/>
      <c r="E1212" s="16"/>
      <c r="F1212" s="9"/>
      <c r="G1212" s="9"/>
      <c r="H1212" s="9"/>
    </row>
    <row r="1213" spans="4:8" s="3" customFormat="1" ht="21" customHeight="1">
      <c r="D1213" s="16"/>
      <c r="E1213" s="16"/>
      <c r="F1213" s="9"/>
      <c r="G1213" s="9"/>
      <c r="H1213" s="9"/>
    </row>
    <row r="1214" spans="4:8" s="3" customFormat="1" ht="21" customHeight="1">
      <c r="D1214" s="16"/>
      <c r="E1214" s="16"/>
      <c r="F1214" s="9"/>
      <c r="G1214" s="9"/>
      <c r="H1214" s="9"/>
    </row>
    <row r="1215" spans="4:8" s="3" customFormat="1" ht="21" customHeight="1">
      <c r="D1215" s="16"/>
      <c r="E1215" s="16"/>
      <c r="F1215" s="9"/>
      <c r="G1215" s="9"/>
      <c r="H1215" s="9"/>
    </row>
    <row r="1216" spans="4:8" s="3" customFormat="1" ht="21" customHeight="1">
      <c r="D1216" s="16"/>
      <c r="E1216" s="16"/>
      <c r="F1216" s="9"/>
      <c r="G1216" s="9"/>
      <c r="H1216" s="9"/>
    </row>
    <row r="1217" spans="4:8" s="3" customFormat="1" ht="21" customHeight="1">
      <c r="D1217" s="16"/>
      <c r="E1217" s="16"/>
      <c r="F1217" s="9"/>
      <c r="G1217" s="9"/>
      <c r="H1217" s="9"/>
    </row>
    <row r="1218" spans="4:8" s="3" customFormat="1" ht="21" customHeight="1">
      <c r="D1218" s="16"/>
      <c r="E1218" s="16"/>
      <c r="F1218" s="9"/>
      <c r="G1218" s="9"/>
      <c r="H1218" s="9"/>
    </row>
    <row r="1219" spans="4:8" s="3" customFormat="1" ht="21" customHeight="1">
      <c r="D1219" s="16"/>
      <c r="E1219" s="16"/>
      <c r="F1219" s="9"/>
      <c r="G1219" s="9"/>
      <c r="H1219" s="9"/>
    </row>
    <row r="1220" spans="4:8" s="3" customFormat="1" ht="21" customHeight="1">
      <c r="D1220" s="16"/>
      <c r="E1220" s="16"/>
      <c r="F1220" s="9"/>
      <c r="G1220" s="9"/>
      <c r="H1220" s="9"/>
    </row>
    <row r="1221" spans="4:8" s="3" customFormat="1" ht="21" customHeight="1">
      <c r="D1221" s="16"/>
      <c r="E1221" s="16"/>
      <c r="F1221" s="9"/>
      <c r="G1221" s="9"/>
      <c r="H1221" s="9"/>
    </row>
    <row r="1222" spans="4:8" s="3" customFormat="1" ht="21" customHeight="1">
      <c r="D1222" s="16"/>
      <c r="E1222" s="16"/>
      <c r="F1222" s="9"/>
      <c r="G1222" s="9"/>
      <c r="H1222" s="9"/>
    </row>
    <row r="1223" spans="4:8" s="3" customFormat="1" ht="21" customHeight="1">
      <c r="D1223" s="16"/>
      <c r="E1223" s="16"/>
      <c r="F1223" s="9"/>
      <c r="G1223" s="9"/>
      <c r="H1223" s="9"/>
    </row>
    <row r="1224" spans="4:8" s="3" customFormat="1" ht="21" customHeight="1">
      <c r="D1224" s="16"/>
      <c r="E1224" s="16"/>
      <c r="F1224" s="9"/>
      <c r="G1224" s="9"/>
      <c r="H1224" s="9"/>
    </row>
    <row r="1225" spans="4:8" s="3" customFormat="1" ht="21" customHeight="1">
      <c r="D1225" s="16"/>
      <c r="E1225" s="16"/>
      <c r="F1225" s="9"/>
      <c r="G1225" s="9"/>
      <c r="H1225" s="9"/>
    </row>
    <row r="1226" spans="4:8" s="3" customFormat="1" ht="21" customHeight="1">
      <c r="D1226" s="16"/>
      <c r="E1226" s="16"/>
      <c r="F1226" s="9"/>
      <c r="G1226" s="9"/>
      <c r="H1226" s="9"/>
    </row>
    <row r="1227" spans="4:8" s="3" customFormat="1" ht="21" customHeight="1">
      <c r="D1227" s="16"/>
      <c r="E1227" s="16"/>
      <c r="F1227" s="9"/>
      <c r="G1227" s="9"/>
      <c r="H1227" s="9"/>
    </row>
    <row r="1228" spans="4:8" s="3" customFormat="1" ht="21" customHeight="1">
      <c r="D1228" s="16"/>
      <c r="E1228" s="16"/>
      <c r="F1228" s="9"/>
      <c r="G1228" s="9"/>
      <c r="H1228" s="9"/>
    </row>
    <row r="1229" spans="4:8" s="3" customFormat="1" ht="21" customHeight="1">
      <c r="D1229" s="16"/>
      <c r="E1229" s="16"/>
      <c r="F1229" s="9"/>
      <c r="G1229" s="9"/>
      <c r="H1229" s="9"/>
    </row>
    <row r="1230" spans="4:8" s="3" customFormat="1" ht="21" customHeight="1">
      <c r="D1230" s="16"/>
      <c r="E1230" s="16"/>
      <c r="F1230" s="9"/>
      <c r="G1230" s="9"/>
      <c r="H1230" s="9"/>
    </row>
    <row r="1231" spans="4:8" s="3" customFormat="1" ht="21" customHeight="1">
      <c r="D1231" s="16"/>
      <c r="E1231" s="16"/>
      <c r="F1231" s="9"/>
      <c r="G1231" s="9"/>
      <c r="H1231" s="9"/>
    </row>
    <row r="1232" spans="4:8" s="3" customFormat="1" ht="21" customHeight="1">
      <c r="D1232" s="16"/>
      <c r="E1232" s="16"/>
      <c r="F1232" s="9"/>
      <c r="G1232" s="9"/>
      <c r="H1232" s="9"/>
    </row>
    <row r="1233" spans="4:8" s="3" customFormat="1" ht="21" customHeight="1">
      <c r="D1233" s="16"/>
      <c r="E1233" s="16"/>
      <c r="F1233" s="9"/>
      <c r="G1233" s="9"/>
      <c r="H1233" s="9"/>
    </row>
    <row r="1234" spans="4:8" s="3" customFormat="1" ht="21" customHeight="1">
      <c r="D1234" s="16"/>
      <c r="E1234" s="16"/>
      <c r="F1234" s="9"/>
      <c r="G1234" s="9"/>
      <c r="H1234" s="9"/>
    </row>
    <row r="1235" spans="4:8" s="3" customFormat="1" ht="21" customHeight="1">
      <c r="D1235" s="16"/>
      <c r="E1235" s="16"/>
      <c r="F1235" s="9"/>
      <c r="G1235" s="9"/>
      <c r="H1235" s="9"/>
    </row>
    <row r="1236" spans="4:8" s="3" customFormat="1" ht="21" customHeight="1">
      <c r="D1236" s="16"/>
      <c r="E1236" s="16"/>
      <c r="F1236" s="9"/>
      <c r="G1236" s="9"/>
      <c r="H1236" s="9"/>
    </row>
    <row r="1237" spans="4:8" s="3" customFormat="1" ht="21" customHeight="1">
      <c r="D1237" s="16"/>
      <c r="E1237" s="16"/>
      <c r="F1237" s="9"/>
      <c r="G1237" s="9"/>
      <c r="H1237" s="9"/>
    </row>
    <row r="1238" spans="4:8" s="3" customFormat="1" ht="21" customHeight="1">
      <c r="D1238" s="16"/>
      <c r="E1238" s="16"/>
      <c r="F1238" s="9"/>
      <c r="G1238" s="9"/>
      <c r="H1238" s="9"/>
    </row>
    <row r="1239" spans="4:8" s="3" customFormat="1" ht="21" customHeight="1">
      <c r="D1239" s="16"/>
      <c r="E1239" s="16"/>
      <c r="F1239" s="9"/>
      <c r="G1239" s="9"/>
      <c r="H1239" s="9"/>
    </row>
    <row r="1240" spans="4:8" s="3" customFormat="1" ht="21" customHeight="1">
      <c r="D1240" s="16"/>
      <c r="E1240" s="16"/>
      <c r="F1240" s="9"/>
      <c r="G1240" s="9"/>
      <c r="H1240" s="9"/>
    </row>
    <row r="1241" spans="4:8" s="3" customFormat="1" ht="21" customHeight="1">
      <c r="D1241" s="16"/>
      <c r="E1241" s="16"/>
      <c r="F1241" s="9"/>
      <c r="G1241" s="9"/>
      <c r="H1241" s="9"/>
    </row>
    <row r="1242" spans="4:8" s="3" customFormat="1" ht="21" customHeight="1">
      <c r="D1242" s="16"/>
      <c r="E1242" s="16"/>
      <c r="F1242" s="9"/>
      <c r="G1242" s="9"/>
      <c r="H1242" s="9"/>
    </row>
    <row r="1243" spans="4:8" s="3" customFormat="1" ht="21" customHeight="1">
      <c r="D1243" s="16"/>
      <c r="E1243" s="16"/>
      <c r="F1243" s="9"/>
      <c r="G1243" s="9"/>
      <c r="H1243" s="9"/>
    </row>
    <row r="1244" spans="4:8" s="3" customFormat="1" ht="21" customHeight="1">
      <c r="D1244" s="16"/>
      <c r="E1244" s="16"/>
      <c r="F1244" s="9"/>
      <c r="G1244" s="9"/>
      <c r="H1244" s="9"/>
    </row>
    <row r="1245" spans="4:8" s="3" customFormat="1" ht="21" customHeight="1">
      <c r="D1245" s="16"/>
      <c r="E1245" s="16"/>
      <c r="F1245" s="9"/>
      <c r="G1245" s="9"/>
      <c r="H1245" s="9"/>
    </row>
    <row r="1246" spans="4:8" s="3" customFormat="1" ht="21" customHeight="1">
      <c r="D1246" s="16"/>
      <c r="E1246" s="16"/>
      <c r="F1246" s="9"/>
      <c r="G1246" s="9"/>
      <c r="H1246" s="9"/>
    </row>
    <row r="1247" spans="4:8" s="3" customFormat="1" ht="21" customHeight="1">
      <c r="D1247" s="16"/>
      <c r="E1247" s="16"/>
      <c r="F1247" s="9"/>
      <c r="G1247" s="9"/>
      <c r="H1247" s="9"/>
    </row>
    <row r="1248" spans="4:8" s="3" customFormat="1" ht="21" customHeight="1">
      <c r="D1248" s="16"/>
      <c r="E1248" s="16"/>
      <c r="F1248" s="9"/>
      <c r="G1248" s="9"/>
      <c r="H1248" s="9"/>
    </row>
    <row r="1249" spans="4:8" s="3" customFormat="1" ht="21" customHeight="1">
      <c r="D1249" s="16"/>
      <c r="E1249" s="16"/>
      <c r="F1249" s="9"/>
      <c r="G1249" s="9"/>
      <c r="H1249" s="9"/>
    </row>
    <row r="1250" spans="4:8" s="3" customFormat="1" ht="21" customHeight="1">
      <c r="D1250" s="16"/>
      <c r="E1250" s="16"/>
      <c r="F1250" s="9"/>
      <c r="G1250" s="9"/>
      <c r="H1250" s="9"/>
    </row>
    <row r="1251" spans="4:8" s="3" customFormat="1" ht="21" customHeight="1">
      <c r="D1251" s="16"/>
      <c r="E1251" s="16"/>
      <c r="F1251" s="9"/>
      <c r="G1251" s="9"/>
      <c r="H1251" s="9"/>
    </row>
    <row r="1252" spans="4:8" s="3" customFormat="1" ht="21" customHeight="1">
      <c r="D1252" s="16"/>
      <c r="E1252" s="16"/>
      <c r="F1252" s="9"/>
      <c r="G1252" s="9"/>
      <c r="H1252" s="9"/>
    </row>
    <row r="1253" spans="4:8" s="3" customFormat="1" ht="21" customHeight="1">
      <c r="D1253" s="16"/>
      <c r="E1253" s="16"/>
      <c r="F1253" s="9"/>
      <c r="G1253" s="9"/>
      <c r="H1253" s="9"/>
    </row>
    <row r="1254" spans="4:8" s="3" customFormat="1" ht="21" customHeight="1">
      <c r="D1254" s="16"/>
      <c r="E1254" s="16"/>
      <c r="F1254" s="9"/>
      <c r="G1254" s="9"/>
      <c r="H1254" s="9"/>
    </row>
    <row r="1255" spans="4:8" s="3" customFormat="1" ht="21" customHeight="1">
      <c r="D1255" s="16"/>
      <c r="E1255" s="16"/>
      <c r="F1255" s="9"/>
      <c r="G1255" s="9"/>
      <c r="H1255" s="9"/>
    </row>
    <row r="1256" spans="4:8" s="3" customFormat="1" ht="21" customHeight="1">
      <c r="D1256" s="16"/>
      <c r="E1256" s="16"/>
      <c r="F1256" s="9"/>
      <c r="G1256" s="9"/>
      <c r="H1256" s="9"/>
    </row>
    <row r="1257" spans="4:8" s="3" customFormat="1" ht="21" customHeight="1">
      <c r="D1257" s="16"/>
      <c r="E1257" s="16"/>
      <c r="F1257" s="9"/>
      <c r="G1257" s="9"/>
      <c r="H1257" s="9"/>
    </row>
    <row r="1258" spans="4:8" s="3" customFormat="1" ht="21" customHeight="1">
      <c r="D1258" s="16"/>
      <c r="E1258" s="16"/>
      <c r="F1258" s="9"/>
      <c r="G1258" s="9"/>
      <c r="H1258" s="9"/>
    </row>
    <row r="1259" spans="4:8" s="3" customFormat="1" ht="21" customHeight="1">
      <c r="D1259" s="16"/>
      <c r="E1259" s="16"/>
      <c r="F1259" s="9"/>
      <c r="G1259" s="9"/>
      <c r="H1259" s="9"/>
    </row>
    <row r="1260" spans="4:8" s="3" customFormat="1" ht="21" customHeight="1">
      <c r="D1260" s="16"/>
      <c r="E1260" s="16"/>
      <c r="F1260" s="9"/>
      <c r="G1260" s="9"/>
      <c r="H1260" s="9"/>
    </row>
    <row r="1261" spans="4:8" s="3" customFormat="1" ht="21" customHeight="1">
      <c r="D1261" s="16"/>
      <c r="E1261" s="16"/>
      <c r="F1261" s="9"/>
      <c r="G1261" s="9"/>
      <c r="H1261" s="9"/>
    </row>
    <row r="1262" spans="4:8" s="3" customFormat="1" ht="21" customHeight="1">
      <c r="D1262" s="16"/>
      <c r="E1262" s="16"/>
      <c r="F1262" s="9"/>
      <c r="G1262" s="9"/>
      <c r="H1262" s="9"/>
    </row>
    <row r="1263" spans="4:8" s="3" customFormat="1" ht="21" customHeight="1">
      <c r="D1263" s="16"/>
      <c r="E1263" s="16"/>
      <c r="F1263" s="9"/>
      <c r="G1263" s="9"/>
      <c r="H1263" s="9"/>
    </row>
    <row r="1264" spans="4:8" s="3" customFormat="1" ht="21" customHeight="1">
      <c r="D1264" s="16"/>
      <c r="E1264" s="16"/>
      <c r="F1264" s="9"/>
      <c r="G1264" s="9"/>
      <c r="H1264" s="9"/>
    </row>
    <row r="1265" spans="4:8" s="3" customFormat="1" ht="21" customHeight="1">
      <c r="D1265" s="16"/>
      <c r="E1265" s="16"/>
      <c r="F1265" s="9"/>
      <c r="G1265" s="9"/>
      <c r="H1265" s="9"/>
    </row>
    <row r="1266" spans="4:8" s="3" customFormat="1" ht="21" customHeight="1">
      <c r="D1266" s="16"/>
      <c r="E1266" s="16"/>
      <c r="F1266" s="9"/>
      <c r="G1266" s="9"/>
      <c r="H1266" s="9"/>
    </row>
    <row r="1267" spans="4:8" s="3" customFormat="1" ht="21" customHeight="1">
      <c r="D1267" s="16"/>
      <c r="E1267" s="16"/>
      <c r="F1267" s="9"/>
      <c r="G1267" s="9"/>
      <c r="H1267" s="9"/>
    </row>
    <row r="1268" spans="4:8" s="3" customFormat="1" ht="21" customHeight="1">
      <c r="D1268" s="16"/>
      <c r="E1268" s="16"/>
      <c r="F1268" s="9"/>
      <c r="G1268" s="9"/>
      <c r="H1268" s="9"/>
    </row>
    <row r="1269" spans="4:8" s="3" customFormat="1" ht="21" customHeight="1">
      <c r="D1269" s="16"/>
      <c r="E1269" s="16"/>
      <c r="F1269" s="9"/>
      <c r="G1269" s="9"/>
      <c r="H1269" s="9"/>
    </row>
    <row r="1270" spans="4:8" s="3" customFormat="1" ht="21" customHeight="1">
      <c r="D1270" s="16"/>
      <c r="E1270" s="16"/>
      <c r="F1270" s="9"/>
      <c r="G1270" s="9"/>
      <c r="H1270" s="9"/>
    </row>
    <row r="1271" spans="4:8" s="3" customFormat="1" ht="21" customHeight="1">
      <c r="D1271" s="16"/>
      <c r="E1271" s="16"/>
      <c r="F1271" s="9"/>
      <c r="G1271" s="9"/>
      <c r="H1271" s="9"/>
    </row>
    <row r="1272" spans="4:8" s="3" customFormat="1" ht="21" customHeight="1">
      <c r="D1272" s="16"/>
      <c r="E1272" s="16"/>
      <c r="F1272" s="9"/>
      <c r="G1272" s="9"/>
      <c r="H1272" s="9"/>
    </row>
    <row r="1273" spans="4:8" s="3" customFormat="1" ht="21" customHeight="1">
      <c r="D1273" s="16"/>
      <c r="E1273" s="16"/>
      <c r="F1273" s="9"/>
      <c r="G1273" s="9"/>
      <c r="H1273" s="9"/>
    </row>
    <row r="1274" spans="4:8" s="3" customFormat="1" ht="21" customHeight="1">
      <c r="D1274" s="16"/>
      <c r="E1274" s="16"/>
      <c r="F1274" s="9"/>
      <c r="G1274" s="9"/>
      <c r="H1274" s="9"/>
    </row>
    <row r="1275" spans="4:8" s="3" customFormat="1" ht="21" customHeight="1">
      <c r="D1275" s="16"/>
      <c r="E1275" s="16"/>
      <c r="F1275" s="9"/>
      <c r="G1275" s="9"/>
      <c r="H1275" s="9"/>
    </row>
    <row r="1276" spans="4:8" s="3" customFormat="1" ht="21" customHeight="1">
      <c r="D1276" s="16"/>
      <c r="E1276" s="16"/>
      <c r="F1276" s="9"/>
      <c r="G1276" s="9"/>
      <c r="H1276" s="9"/>
    </row>
    <row r="1277" spans="4:8" s="3" customFormat="1" ht="21" customHeight="1">
      <c r="D1277" s="16"/>
      <c r="E1277" s="16"/>
      <c r="F1277" s="9"/>
      <c r="G1277" s="9"/>
      <c r="H1277" s="9"/>
    </row>
    <row r="1278" spans="4:8" s="3" customFormat="1" ht="21" customHeight="1">
      <c r="D1278" s="16"/>
      <c r="E1278" s="16"/>
      <c r="F1278" s="9"/>
      <c r="G1278" s="9"/>
      <c r="H1278" s="9"/>
    </row>
    <row r="1279" spans="4:8" s="3" customFormat="1" ht="21" customHeight="1">
      <c r="D1279" s="16"/>
      <c r="E1279" s="16"/>
      <c r="F1279" s="9"/>
      <c r="G1279" s="9"/>
      <c r="H1279" s="9"/>
    </row>
    <row r="1280" spans="4:8" s="3" customFormat="1" ht="21" customHeight="1">
      <c r="D1280" s="16"/>
      <c r="E1280" s="16"/>
      <c r="F1280" s="9"/>
      <c r="G1280" s="9"/>
      <c r="H1280" s="9"/>
    </row>
    <row r="1281" spans="4:8" s="3" customFormat="1" ht="21" customHeight="1">
      <c r="D1281" s="16"/>
      <c r="E1281" s="16"/>
      <c r="F1281" s="9"/>
      <c r="G1281" s="9"/>
      <c r="H1281" s="9"/>
    </row>
    <row r="1282" spans="4:8" s="3" customFormat="1" ht="21" customHeight="1">
      <c r="D1282" s="16"/>
      <c r="E1282" s="16"/>
      <c r="F1282" s="9"/>
      <c r="G1282" s="9"/>
      <c r="H1282" s="9"/>
    </row>
    <row r="1283" spans="4:8" s="3" customFormat="1" ht="21" customHeight="1">
      <c r="D1283" s="16"/>
      <c r="E1283" s="16"/>
      <c r="F1283" s="9"/>
      <c r="G1283" s="9"/>
      <c r="H1283" s="9"/>
    </row>
    <row r="1284" spans="4:8" s="3" customFormat="1" ht="21" customHeight="1">
      <c r="D1284" s="16"/>
      <c r="E1284" s="16"/>
      <c r="F1284" s="9"/>
      <c r="G1284" s="9"/>
      <c r="H1284" s="9"/>
    </row>
    <row r="1285" spans="4:8" s="3" customFormat="1" ht="21" customHeight="1">
      <c r="D1285" s="16"/>
      <c r="E1285" s="16"/>
      <c r="F1285" s="9"/>
      <c r="G1285" s="9"/>
      <c r="H1285" s="9"/>
    </row>
    <row r="1286" spans="4:8" s="3" customFormat="1" ht="21" customHeight="1">
      <c r="D1286" s="16"/>
      <c r="E1286" s="16"/>
      <c r="F1286" s="9"/>
      <c r="G1286" s="9"/>
      <c r="H1286" s="9"/>
    </row>
    <row r="1287" spans="4:8" s="3" customFormat="1" ht="21" customHeight="1">
      <c r="D1287" s="16"/>
      <c r="E1287" s="16"/>
      <c r="F1287" s="9"/>
      <c r="G1287" s="9"/>
      <c r="H1287" s="9"/>
    </row>
    <row r="1288" spans="4:8" s="3" customFormat="1" ht="21" customHeight="1">
      <c r="D1288" s="16"/>
      <c r="E1288" s="16"/>
      <c r="F1288" s="9"/>
      <c r="G1288" s="9"/>
      <c r="H1288" s="9"/>
    </row>
    <row r="1289" spans="4:8" s="3" customFormat="1" ht="21" customHeight="1">
      <c r="D1289" s="16"/>
      <c r="E1289" s="16"/>
      <c r="F1289" s="9"/>
      <c r="G1289" s="9"/>
      <c r="H1289" s="9"/>
    </row>
    <row r="1290" spans="4:8" s="3" customFormat="1" ht="21" customHeight="1">
      <c r="D1290" s="16"/>
      <c r="E1290" s="16"/>
      <c r="F1290" s="9"/>
      <c r="G1290" s="9"/>
      <c r="H1290" s="9"/>
    </row>
    <row r="1291" spans="4:8" s="3" customFormat="1" ht="21" customHeight="1">
      <c r="D1291" s="16"/>
      <c r="E1291" s="16"/>
      <c r="F1291" s="9"/>
      <c r="G1291" s="9"/>
      <c r="H1291" s="9"/>
    </row>
    <row r="1292" spans="4:8" s="3" customFormat="1" ht="21" customHeight="1">
      <c r="D1292" s="16"/>
      <c r="E1292" s="16"/>
      <c r="F1292" s="9"/>
      <c r="G1292" s="9"/>
      <c r="H1292" s="9"/>
    </row>
    <row r="1293" spans="4:8" s="3" customFormat="1" ht="21" customHeight="1">
      <c r="D1293" s="16"/>
      <c r="E1293" s="16"/>
      <c r="F1293" s="9"/>
      <c r="G1293" s="9"/>
      <c r="H1293" s="9"/>
    </row>
    <row r="1294" spans="4:8" s="3" customFormat="1" ht="21" customHeight="1">
      <c r="D1294" s="16"/>
      <c r="E1294" s="16"/>
      <c r="F1294" s="9"/>
      <c r="G1294" s="9"/>
      <c r="H1294" s="9"/>
    </row>
    <row r="1295" spans="4:8" s="3" customFormat="1" ht="21" customHeight="1">
      <c r="D1295" s="16"/>
      <c r="E1295" s="16"/>
      <c r="F1295" s="9"/>
      <c r="G1295" s="9"/>
      <c r="H1295" s="9"/>
    </row>
    <row r="1296" spans="4:8" s="3" customFormat="1" ht="21" customHeight="1">
      <c r="D1296" s="16"/>
      <c r="E1296" s="16"/>
      <c r="F1296" s="9"/>
      <c r="G1296" s="9"/>
      <c r="H1296" s="9"/>
    </row>
    <row r="1297" spans="4:8" s="3" customFormat="1" ht="21" customHeight="1">
      <c r="D1297" s="16"/>
      <c r="E1297" s="16"/>
      <c r="F1297" s="9"/>
      <c r="G1297" s="9"/>
      <c r="H1297" s="9"/>
    </row>
    <row r="1298" spans="4:8" s="3" customFormat="1" ht="21" customHeight="1">
      <c r="D1298" s="16"/>
      <c r="E1298" s="16"/>
      <c r="F1298" s="9"/>
      <c r="G1298" s="9"/>
      <c r="H1298" s="9"/>
    </row>
    <row r="1299" spans="4:8" s="3" customFormat="1" ht="21" customHeight="1">
      <c r="D1299" s="16"/>
      <c r="E1299" s="16"/>
      <c r="F1299" s="9"/>
      <c r="G1299" s="9"/>
      <c r="H1299" s="9"/>
    </row>
    <row r="1300" spans="4:8" s="3" customFormat="1" ht="21" customHeight="1">
      <c r="D1300" s="16"/>
      <c r="E1300" s="16"/>
      <c r="F1300" s="9"/>
      <c r="G1300" s="9"/>
      <c r="H1300" s="9"/>
    </row>
    <row r="1301" spans="4:8" s="3" customFormat="1" ht="21" customHeight="1">
      <c r="D1301" s="16"/>
      <c r="E1301" s="16"/>
      <c r="F1301" s="9"/>
      <c r="G1301" s="9"/>
      <c r="H1301" s="9"/>
    </row>
    <row r="1302" spans="4:8" s="3" customFormat="1" ht="21" customHeight="1">
      <c r="D1302" s="16"/>
      <c r="E1302" s="16"/>
      <c r="F1302" s="9"/>
      <c r="G1302" s="9"/>
      <c r="H1302" s="9"/>
    </row>
    <row r="1303" spans="4:8" s="3" customFormat="1" ht="21" customHeight="1">
      <c r="D1303" s="16"/>
      <c r="E1303" s="16"/>
      <c r="F1303" s="9"/>
      <c r="G1303" s="9"/>
      <c r="H1303" s="9"/>
    </row>
    <row r="1304" spans="4:8" s="3" customFormat="1" ht="21" customHeight="1">
      <c r="D1304" s="16"/>
      <c r="E1304" s="16"/>
      <c r="F1304" s="9"/>
      <c r="G1304" s="9"/>
      <c r="H1304" s="9"/>
    </row>
    <row r="1305" spans="4:8" s="3" customFormat="1" ht="21" customHeight="1">
      <c r="D1305" s="16"/>
      <c r="E1305" s="16"/>
      <c r="F1305" s="9"/>
      <c r="G1305" s="9"/>
      <c r="H1305" s="9"/>
    </row>
    <row r="1306" spans="4:8" s="3" customFormat="1" ht="21" customHeight="1">
      <c r="D1306" s="16"/>
      <c r="E1306" s="16"/>
      <c r="F1306" s="9"/>
      <c r="G1306" s="9"/>
      <c r="H1306" s="9"/>
    </row>
    <row r="1307" spans="4:8" s="3" customFormat="1" ht="21" customHeight="1">
      <c r="D1307" s="16"/>
      <c r="E1307" s="16"/>
      <c r="F1307" s="9"/>
      <c r="G1307" s="9"/>
      <c r="H1307" s="9"/>
    </row>
    <row r="1308" spans="4:8" s="3" customFormat="1" ht="21" customHeight="1">
      <c r="D1308" s="16"/>
      <c r="E1308" s="16"/>
      <c r="F1308" s="9"/>
      <c r="G1308" s="9"/>
      <c r="H1308" s="9"/>
    </row>
    <row r="1309" spans="4:8" s="3" customFormat="1" ht="21" customHeight="1">
      <c r="D1309" s="16"/>
      <c r="E1309" s="16"/>
      <c r="F1309" s="9"/>
      <c r="G1309" s="9"/>
      <c r="H1309" s="9"/>
    </row>
    <row r="1310" spans="4:8" s="3" customFormat="1" ht="21" customHeight="1">
      <c r="D1310" s="16"/>
      <c r="E1310" s="16"/>
      <c r="F1310" s="9"/>
      <c r="G1310" s="9"/>
      <c r="H1310" s="9"/>
    </row>
    <row r="1311" spans="4:8" s="3" customFormat="1" ht="21" customHeight="1">
      <c r="D1311" s="16"/>
      <c r="E1311" s="16"/>
      <c r="F1311" s="9"/>
      <c r="G1311" s="9"/>
      <c r="H1311" s="9"/>
    </row>
    <row r="1312" spans="4:8" s="3" customFormat="1" ht="21" customHeight="1">
      <c r="D1312" s="16"/>
      <c r="E1312" s="16"/>
      <c r="F1312" s="9"/>
      <c r="G1312" s="9"/>
      <c r="H1312" s="9"/>
    </row>
    <row r="1313" spans="4:8" s="3" customFormat="1" ht="21" customHeight="1">
      <c r="D1313" s="16"/>
      <c r="E1313" s="16"/>
      <c r="F1313" s="9"/>
      <c r="G1313" s="9"/>
      <c r="H1313" s="9"/>
    </row>
    <row r="1314" spans="4:8" s="3" customFormat="1" ht="21" customHeight="1">
      <c r="D1314" s="16"/>
      <c r="E1314" s="16"/>
      <c r="F1314" s="9"/>
      <c r="G1314" s="9"/>
      <c r="H1314" s="9"/>
    </row>
    <row r="1315" spans="4:8" s="3" customFormat="1" ht="21" customHeight="1">
      <c r="D1315" s="16"/>
      <c r="E1315" s="16"/>
      <c r="F1315" s="9"/>
      <c r="G1315" s="9"/>
      <c r="H1315" s="9"/>
    </row>
    <row r="1316" spans="4:8" s="3" customFormat="1" ht="21" customHeight="1">
      <c r="D1316" s="16"/>
      <c r="E1316" s="16"/>
      <c r="F1316" s="9"/>
      <c r="G1316" s="9"/>
      <c r="H1316" s="9"/>
    </row>
    <row r="1317" spans="4:8" s="3" customFormat="1" ht="21" customHeight="1">
      <c r="D1317" s="16"/>
      <c r="E1317" s="16"/>
      <c r="F1317" s="9"/>
      <c r="G1317" s="9"/>
      <c r="H1317" s="9"/>
    </row>
    <row r="1318" spans="4:8" s="3" customFormat="1" ht="21" customHeight="1">
      <c r="D1318" s="16"/>
      <c r="E1318" s="16"/>
      <c r="F1318" s="9"/>
      <c r="G1318" s="9"/>
      <c r="H1318" s="9"/>
    </row>
    <row r="1319" spans="4:8" s="3" customFormat="1" ht="21" customHeight="1">
      <c r="D1319" s="16"/>
      <c r="E1319" s="16"/>
      <c r="F1319" s="9"/>
      <c r="G1319" s="9"/>
      <c r="H1319" s="9"/>
    </row>
    <row r="1320" spans="4:8" s="3" customFormat="1" ht="21" customHeight="1">
      <c r="D1320" s="16"/>
      <c r="E1320" s="16"/>
      <c r="F1320" s="9"/>
      <c r="G1320" s="9"/>
      <c r="H1320" s="9"/>
    </row>
    <row r="1321" spans="4:8" s="3" customFormat="1" ht="21" customHeight="1">
      <c r="D1321" s="16"/>
      <c r="E1321" s="16"/>
      <c r="F1321" s="9"/>
      <c r="G1321" s="9"/>
      <c r="H1321" s="9"/>
    </row>
    <row r="1322" spans="4:8" s="3" customFormat="1" ht="21" customHeight="1">
      <c r="D1322" s="16"/>
      <c r="E1322" s="16"/>
      <c r="F1322" s="9"/>
      <c r="G1322" s="9"/>
      <c r="H1322" s="9"/>
    </row>
    <row r="1323" spans="4:8" s="3" customFormat="1" ht="21" customHeight="1">
      <c r="D1323" s="16"/>
      <c r="E1323" s="16"/>
      <c r="F1323" s="9"/>
      <c r="G1323" s="9"/>
      <c r="H1323" s="9"/>
    </row>
    <row r="1324" spans="4:8" s="3" customFormat="1" ht="21" customHeight="1">
      <c r="D1324" s="16"/>
      <c r="E1324" s="16"/>
      <c r="F1324" s="9"/>
      <c r="G1324" s="9"/>
      <c r="H1324" s="9"/>
    </row>
    <row r="1325" spans="4:8" s="3" customFormat="1" ht="21" customHeight="1">
      <c r="D1325" s="16"/>
      <c r="E1325" s="16"/>
      <c r="F1325" s="9"/>
      <c r="G1325" s="9"/>
      <c r="H1325" s="9"/>
    </row>
    <row r="1326" spans="4:8" s="3" customFormat="1" ht="21" customHeight="1">
      <c r="D1326" s="16"/>
      <c r="E1326" s="16"/>
      <c r="F1326" s="9"/>
      <c r="G1326" s="9"/>
      <c r="H1326" s="9"/>
    </row>
    <row r="1327" spans="4:8" s="3" customFormat="1" ht="21" customHeight="1">
      <c r="D1327" s="16"/>
      <c r="E1327" s="16"/>
      <c r="F1327" s="9"/>
      <c r="G1327" s="9"/>
      <c r="H1327" s="9"/>
    </row>
    <row r="1328" spans="4:8" s="3" customFormat="1" ht="21" customHeight="1">
      <c r="D1328" s="16"/>
      <c r="E1328" s="16"/>
      <c r="F1328" s="9"/>
      <c r="G1328" s="9"/>
      <c r="H1328" s="9"/>
    </row>
    <row r="1329" spans="4:8" s="3" customFormat="1" ht="21" customHeight="1">
      <c r="D1329" s="16"/>
      <c r="E1329" s="16"/>
      <c r="F1329" s="9"/>
      <c r="G1329" s="9"/>
      <c r="H1329" s="9"/>
    </row>
    <row r="1330" spans="4:8" s="3" customFormat="1" ht="21" customHeight="1">
      <c r="D1330" s="16"/>
      <c r="E1330" s="16"/>
      <c r="F1330" s="9"/>
      <c r="G1330" s="9"/>
      <c r="H1330" s="9"/>
    </row>
    <row r="1331" spans="4:8" s="3" customFormat="1" ht="21" customHeight="1">
      <c r="D1331" s="16"/>
      <c r="E1331" s="16"/>
      <c r="F1331" s="9"/>
      <c r="G1331" s="9"/>
      <c r="H1331" s="9"/>
    </row>
    <row r="1332" spans="4:8" s="3" customFormat="1" ht="21" customHeight="1">
      <c r="D1332" s="16"/>
      <c r="E1332" s="16"/>
      <c r="F1332" s="9"/>
      <c r="G1332" s="9"/>
      <c r="H1332" s="9"/>
    </row>
    <row r="1333" spans="4:8" s="3" customFormat="1" ht="21" customHeight="1">
      <c r="D1333" s="16"/>
      <c r="E1333" s="16"/>
      <c r="F1333" s="9"/>
      <c r="G1333" s="9"/>
      <c r="H1333" s="9"/>
    </row>
    <row r="1334" spans="4:8" s="3" customFormat="1" ht="21" customHeight="1">
      <c r="D1334" s="16"/>
      <c r="E1334" s="16"/>
      <c r="F1334" s="9"/>
      <c r="G1334" s="9"/>
      <c r="H1334" s="9"/>
    </row>
    <row r="1335" spans="4:8" s="3" customFormat="1" ht="21" customHeight="1">
      <c r="D1335" s="16"/>
      <c r="E1335" s="16"/>
      <c r="F1335" s="9"/>
      <c r="G1335" s="9"/>
      <c r="H1335" s="9"/>
    </row>
    <row r="1336" spans="4:8" s="3" customFormat="1" ht="21" customHeight="1">
      <c r="D1336" s="16"/>
      <c r="E1336" s="16"/>
      <c r="F1336" s="9"/>
      <c r="G1336" s="9"/>
      <c r="H1336" s="9"/>
    </row>
    <row r="1337" spans="4:8" s="3" customFormat="1" ht="21" customHeight="1">
      <c r="D1337" s="16"/>
      <c r="E1337" s="16"/>
      <c r="F1337" s="9"/>
      <c r="G1337" s="9"/>
      <c r="H1337" s="9"/>
    </row>
    <row r="1338" spans="4:8" s="3" customFormat="1" ht="21" customHeight="1">
      <c r="D1338" s="16"/>
      <c r="E1338" s="16"/>
      <c r="F1338" s="9"/>
      <c r="G1338" s="9"/>
      <c r="H1338" s="9"/>
    </row>
    <row r="1339" spans="4:8" s="3" customFormat="1" ht="21" customHeight="1">
      <c r="D1339" s="16"/>
      <c r="E1339" s="16"/>
      <c r="F1339" s="9"/>
      <c r="G1339" s="9"/>
      <c r="H1339" s="9"/>
    </row>
    <row r="1340" spans="4:8" s="3" customFormat="1" ht="21" customHeight="1">
      <c r="D1340" s="16"/>
      <c r="E1340" s="16"/>
      <c r="F1340" s="9"/>
      <c r="G1340" s="9"/>
      <c r="H1340" s="9"/>
    </row>
    <row r="1341" spans="4:8" s="3" customFormat="1" ht="21" customHeight="1">
      <c r="D1341" s="16"/>
      <c r="E1341" s="16"/>
      <c r="F1341" s="9"/>
      <c r="G1341" s="9"/>
      <c r="H1341" s="9"/>
    </row>
    <row r="1342" spans="4:8" s="3" customFormat="1" ht="21" customHeight="1">
      <c r="D1342" s="16"/>
      <c r="E1342" s="16"/>
      <c r="F1342" s="9"/>
      <c r="G1342" s="9"/>
      <c r="H1342" s="9"/>
    </row>
    <row r="1343" spans="4:8" s="3" customFormat="1" ht="21" customHeight="1">
      <c r="D1343" s="16"/>
      <c r="E1343" s="16"/>
      <c r="F1343" s="9"/>
      <c r="G1343" s="9"/>
      <c r="H1343" s="9"/>
    </row>
    <row r="1344" spans="4:8" s="3" customFormat="1" ht="21" customHeight="1">
      <c r="D1344" s="16"/>
      <c r="E1344" s="16"/>
      <c r="F1344" s="9"/>
      <c r="G1344" s="9"/>
      <c r="H1344" s="9"/>
    </row>
    <row r="1345" spans="4:8" s="3" customFormat="1" ht="21" customHeight="1">
      <c r="D1345" s="16"/>
      <c r="E1345" s="16"/>
      <c r="F1345" s="9"/>
      <c r="G1345" s="9"/>
      <c r="H1345" s="9"/>
    </row>
    <row r="1346" spans="4:8" s="3" customFormat="1" ht="21" customHeight="1">
      <c r="D1346" s="16"/>
      <c r="E1346" s="16"/>
      <c r="F1346" s="9"/>
      <c r="G1346" s="9"/>
      <c r="H1346" s="9"/>
    </row>
    <row r="1347" spans="4:8" s="3" customFormat="1" ht="21" customHeight="1">
      <c r="D1347" s="16"/>
      <c r="E1347" s="16"/>
      <c r="F1347" s="9"/>
      <c r="G1347" s="9"/>
      <c r="H1347" s="9"/>
    </row>
    <row r="1348" spans="4:8" s="3" customFormat="1" ht="21" customHeight="1">
      <c r="D1348" s="16"/>
      <c r="E1348" s="16"/>
      <c r="F1348" s="9"/>
      <c r="G1348" s="9"/>
      <c r="H1348" s="9"/>
    </row>
    <row r="1349" spans="4:8" s="3" customFormat="1" ht="21" customHeight="1">
      <c r="D1349" s="16"/>
      <c r="E1349" s="16"/>
      <c r="F1349" s="9"/>
      <c r="G1349" s="9"/>
      <c r="H1349" s="9"/>
    </row>
    <row r="1350" spans="4:8" s="3" customFormat="1" ht="21" customHeight="1">
      <c r="D1350" s="16"/>
      <c r="E1350" s="16"/>
      <c r="F1350" s="9"/>
      <c r="G1350" s="9"/>
      <c r="H1350" s="9"/>
    </row>
    <row r="1351" spans="4:8" s="3" customFormat="1" ht="21" customHeight="1">
      <c r="D1351" s="16"/>
      <c r="E1351" s="16"/>
      <c r="F1351" s="9"/>
      <c r="G1351" s="9"/>
      <c r="H1351" s="9"/>
    </row>
    <row r="1352" spans="4:8" s="3" customFormat="1" ht="21" customHeight="1">
      <c r="D1352" s="1"/>
      <c r="E1352" s="16"/>
      <c r="F1352" s="9"/>
      <c r="G1352" s="9"/>
      <c r="H1352" s="9"/>
    </row>
  </sheetData>
  <mergeCells count="3">
    <mergeCell ref="K3:P3"/>
    <mergeCell ref="C7:C9"/>
    <mergeCell ref="C11:C12"/>
  </mergeCells>
  <phoneticPr fontId="3" type="noConversion"/>
  <dataValidations count="5">
    <dataValidation type="list" allowBlank="1" showInputMessage="1" showErrorMessage="1" sqref="P6:P220" xr:uid="{00000000-0002-0000-0200-000000000000}">
      <formula1>$DD$2:$DD$11</formula1>
    </dataValidation>
    <dataValidation type="list" allowBlank="1" showInputMessage="1" showErrorMessage="1" sqref="L4 L224:L65552 L222" xr:uid="{00000000-0002-0000-0200-000001000000}">
      <formula1>$DD$2:$DD$5</formula1>
    </dataValidation>
    <dataValidation type="list" allowBlank="1" showInputMessage="1" showErrorMessage="1" sqref="O6:O220" xr:uid="{00000000-0002-0000-0200-000002000000}">
      <formula1>$F$6:$F$28</formula1>
    </dataValidation>
    <dataValidation type="list" allowBlank="1" showInputMessage="1" showErrorMessage="1" sqref="M319:M65552 M4" xr:uid="{00000000-0002-0000-0200-000003000000}">
      <formula1>$AC$4:$AC$5</formula1>
    </dataValidation>
    <dataValidation type="list" allowBlank="1" showInputMessage="1" showErrorMessage="1" sqref="N222 N224:N271" xr:uid="{00000000-0002-0000-0200-000004000000}">
      <formula1>$D$6:$D$23</formula1>
    </dataValidation>
  </dataValidations>
  <pageMargins left="0.75" right="0.75" top="0.75" bottom="0.75" header="0.3" footer="0.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Juan's Budget</vt:lpstr>
      <vt:lpstr>How Did I Do</vt:lpstr>
      <vt:lpstr>My Budget (Optional)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2023-05-11T20:42:32Z</dcterms:modified>
</cp:coreProperties>
</file>